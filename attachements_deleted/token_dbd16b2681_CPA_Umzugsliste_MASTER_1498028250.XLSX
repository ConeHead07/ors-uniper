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schmitz\AppData\Local\Microsoft\Windows\Temporary Internet Files\Content.Outlook\SEM4CDTA\"/>
    </mc:Choice>
  </mc:AlternateContent>
  <bookViews>
    <workbookView xWindow="0" yWindow="2130" windowWidth="18435" windowHeight="6030" tabRatio="942" firstSheet="5" activeTab="7"/>
  </bookViews>
  <sheets>
    <sheet name="1. Welle (23.05.)" sheetId="15" state="hidden" r:id="rId1"/>
    <sheet name="2. Welle (30.05.)" sheetId="16" state="hidden" r:id="rId2"/>
    <sheet name="09.06. Umbau Kampa" sheetId="19" state="hidden" r:id="rId3"/>
    <sheet name="3. Welle (12.06.)" sheetId="17" state="hidden" r:id="rId4"/>
    <sheet name="3. Welle (13.06.)" sheetId="18" state="hidden" r:id="rId5"/>
    <sheet name="27.06. Umbau Schmidt" sheetId="24" r:id="rId6"/>
    <sheet name="4. Welle (28.06.)" sheetId="20" r:id="rId7"/>
    <sheet name="4. Welle (29.06.)" sheetId="21" r:id="rId8"/>
    <sheet name="5. Welle (05.07.)" sheetId="22" state="hidden" r:id="rId9"/>
    <sheet name="all" sheetId="5" state="hidden" r:id="rId10"/>
  </sheets>
  <definedNames>
    <definedName name="_xlnm.Print_Area" localSheetId="2">'09.06. Umbau Kampa'!$A$3:$AJ$11</definedName>
    <definedName name="_xlnm.Print_Area" localSheetId="0">'1. Welle (23.05.)'!$A$3:$AK$19</definedName>
    <definedName name="_xlnm.Print_Area" localSheetId="1">'2. Welle (30.05.)'!$A$3:$AK$18</definedName>
    <definedName name="_xlnm.Print_Area" localSheetId="5">'27.06. Umbau Schmidt'!$A$3:$AJ$11</definedName>
    <definedName name="_xlnm.Print_Area" localSheetId="3">'3. Welle (12.06.)'!$A$3:$AK$25</definedName>
    <definedName name="_xlnm.Print_Area" localSheetId="4">'3. Welle (13.06.)'!$A$3:$AK$16</definedName>
    <definedName name="_xlnm.Print_Area" localSheetId="6">'4. Welle (28.06.)'!$A$3:$AK$24</definedName>
    <definedName name="_xlnm.Print_Area" localSheetId="7">'4. Welle (29.06.)'!$A$3:$AK$22</definedName>
    <definedName name="_xlnm.Print_Area" localSheetId="8">'5. Welle (05.07.)'!$A$3:$AK$21</definedName>
    <definedName name="_xlnm.Print_Area" localSheetId="9">all!$A$3:$AJ$26</definedName>
    <definedName name="TABLE" localSheetId="2">'09.06. Umbau Kampa'!#REF!</definedName>
    <definedName name="TABLE" localSheetId="0">'1. Welle (23.05.)'!#REF!</definedName>
    <definedName name="TABLE" localSheetId="1">'2. Welle (30.05.)'!#REF!</definedName>
    <definedName name="TABLE" localSheetId="5">'27.06. Umbau Schmidt'!#REF!</definedName>
    <definedName name="TABLE" localSheetId="3">'3. Welle (12.06.)'!#REF!</definedName>
    <definedName name="TABLE" localSheetId="4">'3. Welle (13.06.)'!#REF!</definedName>
    <definedName name="TABLE" localSheetId="6">'4. Welle (28.06.)'!#REF!</definedName>
    <definedName name="TABLE" localSheetId="7">'4. Welle (29.06.)'!#REF!</definedName>
    <definedName name="TABLE" localSheetId="8">'5. Welle (05.07.)'!#REF!</definedName>
    <definedName name="TABLE" localSheetId="9">all!#REF!</definedName>
  </definedNames>
  <calcPr calcId="152511"/>
</workbook>
</file>

<file path=xl/calcChain.xml><?xml version="1.0" encoding="utf-8"?>
<calcChain xmlns="http://schemas.openxmlformats.org/spreadsheetml/2006/main">
  <c r="AI12" i="24" l="1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AJ22" i="22" l="1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AJ19" i="16" l="1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AJ20" i="15" l="1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</calcChain>
</file>

<file path=xl/sharedStrings.xml><?xml version="1.0" encoding="utf-8"?>
<sst xmlns="http://schemas.openxmlformats.org/spreadsheetml/2006/main" count="1492" uniqueCount="487">
  <si>
    <t>Nr.</t>
  </si>
  <si>
    <t>Name</t>
  </si>
  <si>
    <t>Termin</t>
  </si>
  <si>
    <t>Geb.</t>
  </si>
  <si>
    <t>Raum</t>
  </si>
  <si>
    <t>Ist-Belegung</t>
  </si>
  <si>
    <t>Abteilung</t>
  </si>
  <si>
    <t>Q30</t>
  </si>
  <si>
    <t>Q26</t>
  </si>
  <si>
    <t xml:space="preserve"> --   der Umzug beinhaltet den Abbau und Aufbau des IT-Equipment der einzelnen Mitarbeiter   --</t>
  </si>
  <si>
    <t>Bemerkung</t>
  </si>
  <si>
    <t>Soll-Belegung</t>
  </si>
  <si>
    <t xml:space="preserve">Geb. </t>
  </si>
  <si>
    <t>Corporate Brand &amp; Reputation Management (Uwe Schmidt)</t>
  </si>
  <si>
    <t>W11</t>
  </si>
  <si>
    <t>750/1</t>
  </si>
  <si>
    <t>750/3</t>
  </si>
  <si>
    <t>749.1</t>
  </si>
  <si>
    <t>749.2</t>
  </si>
  <si>
    <t>Andrea Ahlbrecht</t>
  </si>
  <si>
    <t>Achim Bellmann</t>
  </si>
  <si>
    <t>Ulrich Fischer</t>
  </si>
  <si>
    <t>Ulrike Hake</t>
  </si>
  <si>
    <t>Jasmin Heuser</t>
  </si>
  <si>
    <t>Andrea Koch</t>
  </si>
  <si>
    <t>Christiane Merchel</t>
  </si>
  <si>
    <t>Michael Milch</t>
  </si>
  <si>
    <t>Corinna Mühlich</t>
  </si>
  <si>
    <t>Detlef Nehlen</t>
  </si>
  <si>
    <t>Uwe Schmidt</t>
  </si>
  <si>
    <t>Ulrike Tondorf</t>
  </si>
  <si>
    <t>006</t>
  </si>
  <si>
    <t>029</t>
  </si>
  <si>
    <t>R1M08</t>
  </si>
  <si>
    <t>701/1</t>
  </si>
  <si>
    <t>CB</t>
  </si>
  <si>
    <t>Joachim Behr</t>
  </si>
  <si>
    <t>Markus Brandl</t>
  </si>
  <si>
    <t>Uwe Fischer</t>
  </si>
  <si>
    <t>Anabell Hartmann</t>
  </si>
  <si>
    <t>Sami Joost</t>
  </si>
  <si>
    <t>Christophe Kampa</t>
  </si>
  <si>
    <t>Janine Langlotz</t>
  </si>
  <si>
    <t>Markus Loeber</t>
  </si>
  <si>
    <t>Johanna Purschke</t>
  </si>
  <si>
    <t>Martin Spingys</t>
  </si>
  <si>
    <t>Jürgen Beckmann</t>
  </si>
  <si>
    <t>044</t>
  </si>
  <si>
    <t>049</t>
  </si>
  <si>
    <t>041</t>
  </si>
  <si>
    <t>045</t>
  </si>
  <si>
    <t>047</t>
  </si>
  <si>
    <t>026</t>
  </si>
  <si>
    <t>Susanne Dietz</t>
  </si>
  <si>
    <t>014</t>
  </si>
  <si>
    <t>Sonja Diewerge</t>
  </si>
  <si>
    <t>043</t>
  </si>
  <si>
    <t>Birgit Fassbender</t>
  </si>
  <si>
    <t>701/2</t>
  </si>
  <si>
    <t>Thomas Helfrich</t>
  </si>
  <si>
    <t>Anna Voessing</t>
  </si>
  <si>
    <t>Sandra Dollerschell</t>
  </si>
  <si>
    <t>Mara Funda</t>
  </si>
  <si>
    <t>Bernd Halling</t>
  </si>
  <si>
    <t>Eva Kauczor</t>
  </si>
  <si>
    <t>Markus Krischer</t>
  </si>
  <si>
    <t>Kai Mornhinweg</t>
  </si>
  <si>
    <t>Denise Rennmann</t>
  </si>
  <si>
    <t>Marte Schoening</t>
  </si>
  <si>
    <t>Charlotte Rengier</t>
  </si>
  <si>
    <t>Elternzeit</t>
  </si>
  <si>
    <t>Sebastian Weiße</t>
  </si>
  <si>
    <t>Rolf Ackermann</t>
  </si>
  <si>
    <t>040</t>
  </si>
  <si>
    <t>Michael Angermann</t>
  </si>
  <si>
    <t>001</t>
  </si>
  <si>
    <t>Dirk Frenzel</t>
  </si>
  <si>
    <t>Sonja Halacz</t>
  </si>
  <si>
    <t>Christian Hartel</t>
  </si>
  <si>
    <t>Alexander Hennig</t>
  </si>
  <si>
    <t>Anja Ingenrieth</t>
  </si>
  <si>
    <t>Katharina Jansen</t>
  </si>
  <si>
    <t>Ulrike Kliem-Klug</t>
  </si>
  <si>
    <t>Gisela Lenz</t>
  </si>
  <si>
    <t>Thorsten Luetzler</t>
  </si>
  <si>
    <t>Christian Maertin</t>
  </si>
  <si>
    <t>036</t>
  </si>
  <si>
    <t>Henning Meyer</t>
  </si>
  <si>
    <t>Britta Müller</t>
  </si>
  <si>
    <t>017</t>
  </si>
  <si>
    <t>Birgit Neumann</t>
  </si>
  <si>
    <t>Rosemarie Poetzel</t>
  </si>
  <si>
    <t>035</t>
  </si>
  <si>
    <t>Arnold Rajathurai</t>
  </si>
  <si>
    <t>Mathias Scheithauer</t>
  </si>
  <si>
    <t>038</t>
  </si>
  <si>
    <t>Hans-Bernd Schmitz</t>
  </si>
  <si>
    <t>042</t>
  </si>
  <si>
    <t>Katrin Schneider</t>
  </si>
  <si>
    <t>012</t>
  </si>
  <si>
    <t>018</t>
  </si>
  <si>
    <t>Markus Siebenmorgen</t>
  </si>
  <si>
    <t>Ute Bode</t>
  </si>
  <si>
    <t>002</t>
  </si>
  <si>
    <t>Ulrike Bueltena-Boeger</t>
  </si>
  <si>
    <t>004</t>
  </si>
  <si>
    <t>Bärbel Doormann</t>
  </si>
  <si>
    <t>Praktikant</t>
  </si>
  <si>
    <t>Tobias Entrup</t>
  </si>
  <si>
    <t>Volontär</t>
  </si>
  <si>
    <t>750.2</t>
  </si>
  <si>
    <t>Heidi Geritz</t>
  </si>
  <si>
    <t>Dieter Hilla</t>
  </si>
  <si>
    <t>008</t>
  </si>
  <si>
    <t>Simone Kies</t>
  </si>
  <si>
    <t>010</t>
  </si>
  <si>
    <t>Meike Kneip</t>
  </si>
  <si>
    <t>Philip Light</t>
  </si>
  <si>
    <t>Marina Oeldemann</t>
  </si>
  <si>
    <t>Joerg Schäfer</t>
  </si>
  <si>
    <t>Christina Sehnert</t>
  </si>
  <si>
    <t>Klaus Sigl</t>
  </si>
  <si>
    <t>Nicole Voelker</t>
  </si>
  <si>
    <t>Ansgar Weiss</t>
  </si>
  <si>
    <t>Nicola Zieren</t>
  </si>
  <si>
    <t>Jonas Barthel</t>
  </si>
  <si>
    <t>Azubi</t>
  </si>
  <si>
    <t>Katharina Boehner</t>
  </si>
  <si>
    <t>Ralf Breuer</t>
  </si>
  <si>
    <t>Andrea Brunner</t>
  </si>
  <si>
    <t>Fatemeh Johanna Ghazi Mir Saeed</t>
  </si>
  <si>
    <t>Olaf Glück</t>
  </si>
  <si>
    <t>Oliver Günther</t>
  </si>
  <si>
    <t>037</t>
  </si>
  <si>
    <t>Olaf Hake</t>
  </si>
  <si>
    <t>Julia Hoppenau</t>
  </si>
  <si>
    <t>Roland Keiper</t>
  </si>
  <si>
    <t>016</t>
  </si>
  <si>
    <t>046</t>
  </si>
  <si>
    <t>Anita Mandler</t>
  </si>
  <si>
    <t>Roland Parg</t>
  </si>
  <si>
    <t>Jan Schlegelmilch</t>
  </si>
  <si>
    <t>025</t>
  </si>
  <si>
    <t>Hauke Schliep</t>
  </si>
  <si>
    <t>Isabel Schroeder</t>
  </si>
  <si>
    <t>Wolfgang Stippler</t>
  </si>
  <si>
    <t>Dirk Stoll</t>
  </si>
  <si>
    <t>Barbara Wester</t>
  </si>
  <si>
    <t>Alex Zaremba</t>
  </si>
  <si>
    <t>Nina Zemlin</t>
  </si>
  <si>
    <t>?</t>
  </si>
  <si>
    <t>Katja Dau</t>
  </si>
  <si>
    <t>Sabine Schachner</t>
  </si>
  <si>
    <t>Michael Schoettler</t>
  </si>
  <si>
    <t>Pinar Serpen</t>
  </si>
  <si>
    <t>701/3</t>
  </si>
  <si>
    <t>Sylvia Shin</t>
  </si>
  <si>
    <t>Joelle Velten</t>
  </si>
  <si>
    <t>Verena Vorwald</t>
  </si>
  <si>
    <t>(Elternzeit)</t>
  </si>
  <si>
    <t>STA</t>
  </si>
  <si>
    <t>bleibt</t>
  </si>
  <si>
    <t>147</t>
  </si>
  <si>
    <t>Monitor auf Fuß</t>
  </si>
  <si>
    <t>Monitor aufgehängt</t>
  </si>
  <si>
    <t>Dockingstation + Tastatur + Mouse</t>
  </si>
  <si>
    <t>Telefon</t>
  </si>
  <si>
    <t>Schreibtisch mit Rückwand</t>
  </si>
  <si>
    <t>Monitoraufhängung</t>
  </si>
  <si>
    <t>Schreibtisch ohne Rückwand</t>
  </si>
  <si>
    <t>Bürodrehstuhl</t>
  </si>
  <si>
    <t>Garderobenschrank</t>
  </si>
  <si>
    <t>Garderobe</t>
  </si>
  <si>
    <t>Theke 3OH</t>
  </si>
  <si>
    <t>Theke 2 OH</t>
  </si>
  <si>
    <t>Rollcontainer</t>
  </si>
  <si>
    <t>Rollcontainer m. Hängeregistratur</t>
  </si>
  <si>
    <t>Besprechungsstühle</t>
  </si>
  <si>
    <t>Besprechungstisch 80 x 80</t>
  </si>
  <si>
    <t>Besprechungstisch 80 * 160</t>
  </si>
  <si>
    <t>Tisch 80 x 80 höhenverstellbar</t>
  </si>
  <si>
    <t>Stehlampen</t>
  </si>
  <si>
    <t>Wandmonitor</t>
  </si>
  <si>
    <t>Whiteboard</t>
  </si>
  <si>
    <t>CWID</t>
  </si>
  <si>
    <t>Umzugs-
kartons</t>
  </si>
  <si>
    <t>Austausch
Schlüssel</t>
  </si>
  <si>
    <t>Telefon-
Service</t>
  </si>
  <si>
    <t>CPA To Do</t>
  </si>
  <si>
    <t>UZK Mengengerüst</t>
  </si>
  <si>
    <t>Sonstiges /
Bemerkungen</t>
  </si>
  <si>
    <t>Summe</t>
  </si>
  <si>
    <t>GGLSF</t>
  </si>
  <si>
    <t>AVBEL</t>
  </si>
  <si>
    <t>PFFHB</t>
  </si>
  <si>
    <t>AVFIU</t>
  </si>
  <si>
    <t>GHKPI</t>
  </si>
  <si>
    <t>KULGL</t>
  </si>
  <si>
    <t>GFGQN</t>
  </si>
  <si>
    <t>GCHEO</t>
  </si>
  <si>
    <t>KKOC</t>
  </si>
  <si>
    <t>PSJUG</t>
  </si>
  <si>
    <t>CSMLM</t>
  </si>
  <si>
    <t>GGMFB</t>
  </si>
  <si>
    <t>AVNLN</t>
  </si>
  <si>
    <t>PFSUW</t>
  </si>
  <si>
    <t>GVGSV</t>
  </si>
  <si>
    <t>KUTD</t>
  </si>
  <si>
    <t>Raum2</t>
  </si>
  <si>
    <t>Bemerkung3</t>
  </si>
  <si>
    <t>1 Pflanze, 1 Stehlampe, 2 Schreibtischlampen,
1 Glas-Beistelltisch, 2 Bilder, 1 Kühlschrank, 1 Brenner</t>
  </si>
  <si>
    <t>DC</t>
  </si>
  <si>
    <t>CSE</t>
  </si>
  <si>
    <t>CC</t>
  </si>
  <si>
    <t>PGA</t>
  </si>
  <si>
    <t>ECP</t>
  </si>
  <si>
    <t>IO</t>
  </si>
  <si>
    <t>PH</t>
  </si>
  <si>
    <t>Communications &amp; Public Affairs (1. Welle)</t>
  </si>
  <si>
    <t>Oliver Renner</t>
  </si>
  <si>
    <t>Helene Faulhaber</t>
  </si>
  <si>
    <t>AVPPD</t>
  </si>
  <si>
    <t>PHBFA</t>
  </si>
  <si>
    <t>GEBCX</t>
  </si>
  <si>
    <t>SGNMP</t>
  </si>
  <si>
    <t>PHSOT</t>
  </si>
  <si>
    <t>GEXWY</t>
  </si>
  <si>
    <t>GGIQC</t>
  </si>
  <si>
    <t>WDAMI</t>
  </si>
  <si>
    <t>INXN</t>
  </si>
  <si>
    <t>GEGHK</t>
  </si>
  <si>
    <t>GGLOX</t>
  </si>
  <si>
    <t>GHMKK</t>
  </si>
  <si>
    <t>Doris Joosten</t>
  </si>
  <si>
    <t>PSJOO</t>
  </si>
  <si>
    <t>Raum
(von)</t>
  </si>
  <si>
    <t>Raum
(nach)</t>
  </si>
  <si>
    <t>To Do</t>
  </si>
  <si>
    <t>0.43</t>
  </si>
  <si>
    <t>temporär</t>
  </si>
  <si>
    <t>Bemerkung2</t>
  </si>
  <si>
    <t>Susann Schoebel</t>
  </si>
  <si>
    <t>Marina Hegering (N.N.)</t>
  </si>
  <si>
    <t>Felicia Christine Flensberg (N.N.)</t>
  </si>
  <si>
    <t>ab 01.06.2017</t>
  </si>
  <si>
    <t>-</t>
  </si>
  <si>
    <t>abwesend</t>
  </si>
  <si>
    <t>GCTMH</t>
  </si>
  <si>
    <t>1 Ledersessesl, 1 Fernseher</t>
  </si>
  <si>
    <t>KUWNR</t>
  </si>
  <si>
    <t>GGHNM</t>
  </si>
  <si>
    <t>750/2</t>
  </si>
  <si>
    <t>temporär
links</t>
  </si>
  <si>
    <t>temporär
rechts</t>
  </si>
  <si>
    <t>(Julie Luettgen)</t>
  </si>
  <si>
    <t>1 Bürostuhl</t>
  </si>
  <si>
    <t>Headset-Station Jabra PRO, 1 Ablage Laptop, CD-Brenner, 3 Bilder, 2 Rollcontainer mitnehmen</t>
  </si>
  <si>
    <t>1 Headset Typ Plantronics, 1 Stand-Ventitlator, 3 Posterrollen, 1 Flipchart-Gestell &amp; 3x Flipchartblöcke (Euroformat) müssen bitte mit umziehen, 1 Rollcontainer mitnehmen</t>
  </si>
  <si>
    <t>1 Rollcontainer mitnehmen</t>
  </si>
  <si>
    <t>Wandschrank an der Flurseite 
in W11 R. 0.43 abtransportieren / entsorgen
1 Schreibtischlampe, 1 Skulptur, 1 Tischpflanze, 2 Wandprospekthalter</t>
  </si>
  <si>
    <t>782 &gt; 2AP</t>
  </si>
  <si>
    <t>1 AP
temporär</t>
  </si>
  <si>
    <t>784 &gt; 3 AP</t>
  </si>
  <si>
    <t>780 &gt; 2 AP</t>
  </si>
  <si>
    <r>
      <t xml:space="preserve">weitere 3 Kartons (Lineale), </t>
    </r>
    <r>
      <rPr>
        <u/>
        <sz val="10"/>
        <color theme="3"/>
        <rFont val="Arial"/>
        <family val="2"/>
      </rPr>
      <t>runder</t>
    </r>
    <r>
      <rPr>
        <sz val="10"/>
        <color theme="3"/>
        <rFont val="Arial"/>
        <family val="2"/>
      </rPr>
      <t xml:space="preserve"> Besprechungstisch 
gewünscht</t>
    </r>
  </si>
  <si>
    <t>1 große Pflanze, 3 Tischpflanzen, 1 Nespressomaschine (+Verlängerungskabel) --&gt; 80x80 höhenverstellbarer Tisch mitnehmen</t>
  </si>
  <si>
    <t>1.019</t>
  </si>
  <si>
    <t>1.018</t>
  </si>
  <si>
    <t>1 Bürostühl, 1 Safe, 3 Bilder, 1 Schreibtischlampe
Schrank im Büro bleibt abgeschlossen und wird
zu einem späteren Zeitpunkt erst ausgeräumt, runder Besprechungstisch gewünscht</t>
  </si>
  <si>
    <t>Jabra Headset für Telefon; Bürostuhl m Lordosestütze</t>
  </si>
  <si>
    <t>PHUKM</t>
  </si>
  <si>
    <t>Communications &amp; Public Affairs (2. Welle)</t>
  </si>
  <si>
    <t>Communications &amp; Public Affairs (3. Welle)</t>
  </si>
  <si>
    <t>1 Pflanze, 1 Arbeitsplatzdrucker aus dem jetzigen Büro, 
1 Bild,  Stuhl aus dem jetzigen Büro, Telefonspinne, Tischlampe</t>
  </si>
  <si>
    <t>701/A</t>
  </si>
  <si>
    <t>Brunner</t>
  </si>
  <si>
    <t>EMRHG / EPBEK</t>
  </si>
  <si>
    <t>Kristina Pech / 
Petra-Maria Beck</t>
  </si>
  <si>
    <t>1.018 / 19</t>
  </si>
  <si>
    <t>BayNet Team 6 AP (Externals)</t>
  </si>
  <si>
    <t>BayNet Team 2 AP
(Internals)</t>
  </si>
  <si>
    <t>1M08</t>
  </si>
  <si>
    <t>Julia Betzer</t>
  </si>
  <si>
    <t>0.25</t>
  </si>
  <si>
    <t>Nicole Boos (N.N.)</t>
  </si>
  <si>
    <t>Home Office</t>
  </si>
  <si>
    <t>LPC</t>
  </si>
  <si>
    <t>Projekt</t>
  </si>
  <si>
    <t>(Julia Preiss)</t>
  </si>
  <si>
    <t>(Magdalena Pietkiewic)</t>
  </si>
  <si>
    <t>TBD</t>
  </si>
  <si>
    <t>Aufstellung Ab-/ Umbau folgt</t>
  </si>
  <si>
    <t>0.06</t>
  </si>
  <si>
    <t>0.29</t>
  </si>
  <si>
    <t>Fuß Für Monitor, Telefon + Modul, Bürodrehstuhl (ein ergonomischer Stuhl von Fr. Beck auf Rezept), 
1x Flipchart, Headset, 1 Ablage Laptop, 3 Ventilatoren (langer Standfuß), 4 Bilder (3x Artothek)</t>
  </si>
  <si>
    <t>Telefon + Modul, 1x Schreibtischlampe, 2x Pinnwand (mit Standfüßen, groß), 
Ergonomischer Schreibtisch-
Hocker (von Fr. Dr. Kliem-Klug, auf Rezept), Jabra Headset + Station, 1 Ablage Laptop, CD-Brenner, Spinne 
(Lautsprecher für Konferenzen, Speaker + Phone), 7 Bilder (5x Artothek), eine Posterrolle</t>
  </si>
  <si>
    <t>Headset-Station Jabra PRO, 1 Ablage Laptop, 
CD-Brenner, 3 Bilder (1x Artothek), 3 Posterrollen</t>
  </si>
  <si>
    <t>Das große Whiteboard in Raum 1.019 gehört dem Projektteam
 und muss umgezogen werden. Im Besprechungsraum steht ein kleines Whiteboard, welches dort verbleibt.</t>
  </si>
  <si>
    <t>nur IT</t>
  </si>
  <si>
    <t>Schreibtischlampe, Orchidee</t>
  </si>
  <si>
    <t>alt: Abgabe
Popowitsch</t>
  </si>
  <si>
    <t>neu: W11 von Diewerge
alt: to do</t>
  </si>
  <si>
    <t>alt: abgegeben</t>
  </si>
  <si>
    <t>neu: 4 &gt;780
1 &gt; 781</t>
  </si>
  <si>
    <t>Möblierungsplan</t>
  </si>
  <si>
    <t>(David Lerch)</t>
  </si>
  <si>
    <t>(Möblierungsplan)</t>
  </si>
  <si>
    <t>Urlaub bis 16.06.</t>
  </si>
  <si>
    <t>siehe Möblierungsplan
entfernen: Trennwände zwischen den Tischen, Besprechungstisch vor Kopf</t>
  </si>
  <si>
    <t>Head-Set bitte mit umziehen</t>
  </si>
  <si>
    <t>bitte neue Schreibtischlampe</t>
  </si>
  <si>
    <t>KLENZ</t>
  </si>
  <si>
    <t>KFSIM</t>
  </si>
  <si>
    <t>GFHTG</t>
  </si>
  <si>
    <t>KSMID</t>
  </si>
  <si>
    <t>KZIER</t>
  </si>
  <si>
    <t>GCLPH</t>
  </si>
  <si>
    <t>KKASC</t>
  </si>
  <si>
    <t>GHOSL</t>
  </si>
  <si>
    <t>KANWE</t>
  </si>
  <si>
    <t>AVJBE</t>
  </si>
  <si>
    <t>GDCYC</t>
  </si>
  <si>
    <t>GDMLL</t>
  </si>
  <si>
    <t>GGBWA</t>
  </si>
  <si>
    <t>GGHUI</t>
  </si>
  <si>
    <t>GERUW</t>
  </si>
  <si>
    <t>KMALO</t>
  </si>
  <si>
    <t>GDRVB</t>
  </si>
  <si>
    <t>PHUAW</t>
  </si>
  <si>
    <t>KMASP</t>
  </si>
  <si>
    <t>PHGEH</t>
  </si>
  <si>
    <t>INAJA</t>
  </si>
  <si>
    <t>KTOLU</t>
  </si>
  <si>
    <t>GHAGH</t>
  </si>
  <si>
    <t>GDMLT</t>
  </si>
  <si>
    <t>KVOEL</t>
  </si>
  <si>
    <t>KANG</t>
  </si>
  <si>
    <t>GFYNP</t>
  </si>
  <si>
    <t>PHBDO</t>
  </si>
  <si>
    <t>PHFIU</t>
  </si>
  <si>
    <t>2 große Hochschränke mitnehmen, 2 Rollcontainer (alt + neu),
eine Druckerablage aus R. 0.10 (in Klärung), Schreibitschlampe, Lautsprecher, Kopfhörer</t>
  </si>
  <si>
    <t>nur IT-Umzug (kein Telefon)</t>
  </si>
  <si>
    <t>1 (orthopädischer) HAG-Bürodrehstuhl (grau)</t>
  </si>
  <si>
    <t>rechts (Fenster)</t>
  </si>
  <si>
    <t>Dockingstation bitte auf Einhängvorrichtung an die 
Rückwand montieren. Bitte neue Funkmaus und Funktastatur einsetzen.</t>
  </si>
  <si>
    <t>Dockingstation bitte auf Einhängvorrichtung an die 
Rückwand montieren</t>
  </si>
  <si>
    <t>4
schon da</t>
  </si>
  <si>
    <t>Rollcontainer mitnehmen</t>
  </si>
  <si>
    <t>siehe Möblierungsplan</t>
  </si>
  <si>
    <t>Schreibtischlampe, Rollcontainer mitnehmen</t>
  </si>
  <si>
    <t>siehe Möblierungsplan, Rollcontainer mitnehmen</t>
  </si>
  <si>
    <t>1*</t>
  </si>
  <si>
    <t>2*</t>
  </si>
  <si>
    <t>mitnehmen: Bürostuhl, 2 Hochschränke (Platzierung ganz links an linker Wand), Rollcontainer, 1 Pflanze (Altbestand), Stahlgarderobe
neu: Schreibtischlampe</t>
  </si>
  <si>
    <t>AVSPZ</t>
  </si>
  <si>
    <t>MJMAF</t>
  </si>
  <si>
    <t>KEIP</t>
  </si>
  <si>
    <t>AVMLR</t>
  </si>
  <si>
    <t>GGIGG</t>
  </si>
  <si>
    <t>KSDI</t>
  </si>
  <si>
    <t>KMAND</t>
  </si>
  <si>
    <t>AVBJG</t>
  </si>
  <si>
    <t>ZFVOI</t>
  </si>
  <si>
    <t>KROAC</t>
  </si>
  <si>
    <t>WVDTZ</t>
  </si>
  <si>
    <t>GFLJU</t>
  </si>
  <si>
    <t>GDCCB</t>
  </si>
  <si>
    <t>KSTIP</t>
  </si>
  <si>
    <t>WDBHO</t>
  </si>
  <si>
    <t>KSIGL</t>
  </si>
  <si>
    <t>GBGYZ</t>
  </si>
  <si>
    <t>KSEHN</t>
  </si>
  <si>
    <t>PDAZD</t>
  </si>
  <si>
    <t>GGENK</t>
  </si>
  <si>
    <t>GFGSV</t>
  </si>
  <si>
    <t>Urlaub ab 
12.06.</t>
  </si>
  <si>
    <t>(Kanmaz 
temporär)</t>
  </si>
  <si>
    <t>ab 19.06. zurück</t>
  </si>
  <si>
    <t>GBLWX</t>
  </si>
  <si>
    <t>GHMYV</t>
  </si>
  <si>
    <t>N.N. (Praktikant)</t>
  </si>
  <si>
    <t>BBBHG</t>
  </si>
  <si>
    <t xml:space="preserve"> KKOC</t>
  </si>
  <si>
    <t>2 x Rollcontainer existent!</t>
  </si>
  <si>
    <t>1 Hochschrank aus Büro Jansen (0.41) mitnehmen</t>
  </si>
  <si>
    <t>links</t>
  </si>
  <si>
    <t>rechts</t>
  </si>
  <si>
    <t>rechts /
Einzelplatz</t>
  </si>
  <si>
    <t>Voessing</t>
  </si>
  <si>
    <t>linke Seite / 
rechter Platz</t>
  </si>
  <si>
    <t>linke Seite / 
linker Platz</t>
  </si>
  <si>
    <t>rechte Seite /
rechter Platz</t>
  </si>
  <si>
    <t>rechte Seite /
linker Platz</t>
  </si>
  <si>
    <t>linke Seite /
rechter Platz</t>
  </si>
  <si>
    <t>rechte Seite /
Einzelplatz</t>
  </si>
  <si>
    <t>(Anna Kanmaz)</t>
  </si>
  <si>
    <t>13.-29.06.auf dem Platz 
von Lerch</t>
  </si>
  <si>
    <t>0.41</t>
  </si>
  <si>
    <t>(Jana Wiedemeyer)</t>
  </si>
  <si>
    <t>Rollcontainer mitnehmen, Stuhl mitnehmen,
 hohenverstellbarer Tisch, ein Poster im Bilderrahmen</t>
  </si>
  <si>
    <t>zwei Bilder aus der Artothek und 1 gerahmter Werksplan.</t>
  </si>
  <si>
    <t xml:space="preserve"> 28.06. AP Müller 
ab 29.06. R. 029</t>
  </si>
  <si>
    <t>Rollcontainer mitnehmen, Schreibtischlampe</t>
  </si>
  <si>
    <t>Rollcontainer mitnehmen, 2 Pflanzen, Schreibtischlampe</t>
  </si>
  <si>
    <r>
      <t xml:space="preserve">Sondertechnik: Headset, Headset- und Smartphone-Ladegerät sowie Lautsprecher bitte mit umziehen
</t>
    </r>
    <r>
      <rPr>
        <b/>
        <sz val="10"/>
        <color rgb="FF00B050"/>
        <rFont val="Arial"/>
        <family val="2"/>
      </rPr>
      <t>(mobiles Whiteboard bestellen)</t>
    </r>
  </si>
  <si>
    <t>Azubi 
Tondorf
ab 10.07. zurück</t>
  </si>
  <si>
    <r>
      <t xml:space="preserve">wenn möglich bitte einen Schrank, Bürostuhl mitnehmen
</t>
    </r>
    <r>
      <rPr>
        <b/>
        <sz val="10"/>
        <color rgb="FF00B050"/>
        <rFont val="Arial"/>
        <family val="2"/>
      </rPr>
      <t>Magnetwand / Whiteboard bestellen</t>
    </r>
  </si>
  <si>
    <t>Rollcontainer mitnehmen &gt; nur IT + Kartons abbauen und 
in R. 732 zwischenlagern</t>
  </si>
  <si>
    <t>(732)</t>
  </si>
  <si>
    <t>temporär
nur ABBAU
Kartons + IT
zwischenlagern</t>
  </si>
  <si>
    <t>(Kanmaz 
13.-28.06.)
links</t>
  </si>
  <si>
    <t>Behr / Langlotz
links</t>
  </si>
  <si>
    <t>Behr / Langlotz
rechts</t>
  </si>
  <si>
    <t>Joost / Purschke
links</t>
  </si>
  <si>
    <t>Joost / Purschke
rechts</t>
  </si>
  <si>
    <t>Hartmann / Loeber
links</t>
  </si>
  <si>
    <t>Hartmann / Loeber
rechts</t>
  </si>
  <si>
    <t>Hennig / Kampa
links</t>
  </si>
  <si>
    <t>Spingys / N.N.
rechts</t>
  </si>
  <si>
    <t>mitnehmen: Besprechungstisch, 4 Stühle, 2 (von 3) Hochschränke, Garderobenständer, TV, 2 Rollcontainer + 1 schwarzer Technik-Rollcontainer, Schreibtischlampe</t>
  </si>
  <si>
    <t xml:space="preserve">Rolltisch + Garderobe entfernen, Ausstattung bleibt ansonsten so, hinzu kommt eine 
2 OH Theke im Rücken &gt; Faxgerät dort platzieren,
Schreibtischlampe, </t>
  </si>
  <si>
    <t>Chef-Sek
Tel-anlage</t>
  </si>
  <si>
    <t>Möblierungsplan
siehe R. 046</t>
  </si>
  <si>
    <r>
      <t xml:space="preserve">Besprechungstisch bleibt, weiterer Tisch als Ergänzung
zum Schreibtisch (L-Form), Drucker, Schreibtischlampe,
Wanduhr, Garderobenständer (nach R. 147), Bürostuhl, </t>
    </r>
    <r>
      <rPr>
        <b/>
        <sz val="10"/>
        <color rgb="FFFF0000"/>
        <rFont val="Arial"/>
        <family val="2"/>
      </rPr>
      <t>BBS-Mobil (NETZWERKANSCHLUSS PRÜFEN)
5 Artothek-Bilder zurück &gt; LANG</t>
    </r>
  </si>
  <si>
    <t>bitte 2 Rollcontainer mitnehmen, Garderobenschrank!</t>
  </si>
  <si>
    <t>N.N. (Carole Flohr)</t>
  </si>
  <si>
    <t>GHBRE</t>
  </si>
  <si>
    <t>rechts
(temporär)</t>
  </si>
  <si>
    <t>nur IT umziehen</t>
  </si>
  <si>
    <t>Tür-
schild</t>
  </si>
  <si>
    <t>Tür-schild</t>
  </si>
  <si>
    <t>erledigt</t>
  </si>
  <si>
    <t>Urlaub 
02.-16.06.</t>
  </si>
  <si>
    <t>IT-Neuausstattung + Tel.  Veranlassen</t>
  </si>
  <si>
    <t>Urlaub  
12.06.-03.07.</t>
  </si>
  <si>
    <t>Möblierungsplan
(Termin 13.06.)</t>
  </si>
  <si>
    <t>2 Monate 
abwesend</t>
  </si>
  <si>
    <t>Kartons + IT final aufbauen (wurde in R. 732 zwischengelagert)</t>
  </si>
  <si>
    <r>
      <t xml:space="preserve">links (Wand)
</t>
    </r>
    <r>
      <rPr>
        <sz val="10"/>
        <color rgb="FFFF0000"/>
        <rFont val="Arial"/>
        <family val="2"/>
      </rPr>
      <t>temporär in der Mitte</t>
    </r>
  </si>
  <si>
    <t>von der Mitte an die Wandseite IT umziehen</t>
  </si>
  <si>
    <t>nur IT auf den anderen Platz umziehen</t>
  </si>
  <si>
    <t>GBAFD</t>
  </si>
  <si>
    <t>KHER</t>
  </si>
  <si>
    <t>Iris Rolff-Herold</t>
  </si>
  <si>
    <t>WDNHK</t>
  </si>
  <si>
    <t>WDSRI</t>
  </si>
  <si>
    <t>Communications &amp; Public Affairs (5. Welle)</t>
  </si>
  <si>
    <t>Aaron Tepperman</t>
  </si>
  <si>
    <t>Urlaub 
bis 21.06.</t>
  </si>
  <si>
    <t>Urlaub bis
28.06.</t>
  </si>
  <si>
    <t>Urlaub bis
25.06.</t>
  </si>
  <si>
    <t>Urlaub bis
27.06.</t>
  </si>
  <si>
    <t>erledigt
(1x Diewerge / Neumann)</t>
  </si>
  <si>
    <t>alt: '-
neu: erledigt</t>
  </si>
  <si>
    <t>angefragt</t>
  </si>
  <si>
    <t>angefragt
(Velten)</t>
  </si>
  <si>
    <t>1 x Headset</t>
  </si>
  <si>
    <t>mitnehmen: 2 Besprechungstühle + Glastisch, Lautsprecherboxen, Headset, Drucker HP Color LaserJet 4700 dn, Ventilator
1 Hochschrank, 3-4 Bilder</t>
  </si>
  <si>
    <t>mitnehmen: Drucker, Schreibtischlampe, Rollcontainer</t>
  </si>
  <si>
    <t>Telefon links aufstellen; Rollcontainer mitnehmen</t>
  </si>
  <si>
    <r>
      <rPr>
        <b/>
        <sz val="10"/>
        <color rgb="FFFF0000"/>
        <rFont val="Arial"/>
        <family val="2"/>
      </rPr>
      <t>nur IT am neuen AP aufbauen:</t>
    </r>
    <r>
      <rPr>
        <b/>
        <sz val="10"/>
        <rFont val="Arial"/>
        <family val="2"/>
      </rPr>
      <t xml:space="preserve">
@ Alex: Monitor, Tastatur, Maus besorgen</t>
    </r>
  </si>
  <si>
    <t>10
(erledigt)</t>
  </si>
  <si>
    <t>Mitnahme Drucker + Stehlampe aus Raum 101</t>
  </si>
  <si>
    <t>links
(Wand)</t>
  </si>
  <si>
    <t>rechts
(Wand)</t>
  </si>
  <si>
    <t>links
(Fenster)</t>
  </si>
  <si>
    <t>rechts
(Fenster)</t>
  </si>
  <si>
    <t>Besprechungstisch 100x100 soll in R.149 verbleiben</t>
  </si>
  <si>
    <t>Azubi 
Tondorf</t>
  </si>
  <si>
    <t>Tür-Schild</t>
  </si>
  <si>
    <t>Brandl / N.N.
links</t>
  </si>
  <si>
    <t>Giuliano Cannavo (N.N)</t>
  </si>
  <si>
    <t>Artothek-Bilder gehen nach Q30, 
R. 751 (Schmidt) &gt; LANG</t>
  </si>
  <si>
    <t>1 Theke schon im Zielbüro bestückt, Stuhl mitnehmen, Drucker, 3 Bilder, Rollcontainer, 
2 Hochschränke</t>
  </si>
  <si>
    <t>nur IT-Umzug</t>
  </si>
  <si>
    <t>Whiteboard bitte an Wand rechts anbringen, 
insgesamt werden zwei Theken im Büro 014 benötigt</t>
  </si>
  <si>
    <t>0</t>
  </si>
  <si>
    <t>Sitzplatz links/ 
Blick auf Tür</t>
  </si>
  <si>
    <t xml:space="preserve">&gt;1 Bild soll mit nach 025 
&gt;Bürostuhl soll mit nach 025 
&gt;Rollcontainer soll mit nach 025 
</t>
  </si>
  <si>
    <t>&gt; Besprechungstisch mit 3 Stühlen verbleiben in 025 
&gt; Garderobenständer soll mit nach 025 
&gt;Bürostuhl soll mit nach 025 
&gt;Rollcontainer soll mit nach 025 
&gt;Magnetwand links soll abmontiert werden und in R. 17 montiert werden
&gt;2 Bilder links in 025 zurück in Artothek</t>
  </si>
  <si>
    <t>Bitte Pflanze mit umziehen 
( gummibaum und kleinen Besprechungstisch mit 2 Stühlen ), Drucker mit Rollcontainer umziehen , Magazinständer</t>
  </si>
  <si>
    <r>
      <t xml:space="preserve">Möblierungsplan
</t>
    </r>
    <r>
      <rPr>
        <sz val="10"/>
        <rFont val="Arial"/>
        <family val="2"/>
      </rPr>
      <t>links</t>
    </r>
  </si>
  <si>
    <t>Telefon und Schreibtischlampe bitte links aufstellen; Laptop-Dockingstation bitte rechts. 3 Bilder der Arthothek + Pinnwand bitte mitnehmen und aufhängen.</t>
  </si>
  <si>
    <t>Drei Artothek-Bilder gehen mit; 
(an die Wand zum Büro Bültena-Böger &gt; Also so, dass ich drauf schaue); Schreibtischlampe von Q 30 nach W 11; Theken 3OH an Wand hinter mir; Theken 2OH gegenüberliegende Seite.</t>
  </si>
  <si>
    <t>4
am 21.06. benötigt + weitere 8 Aufkleber</t>
  </si>
  <si>
    <t xml:space="preserve">die Gaderobenschränke bitte mit umziehen, 
da Presseauswertung ihre eingenen mitnehmen Ich hätte gerne zwei </t>
  </si>
  <si>
    <t>mitnehmen: Schreibtischlampe, 2 Pflanzen, TV-Gerät mit Untertisch, Vitrine, Tresor, 11 Bilder, 2 Rollcontainer, 
entsorgen: Drucker, Pinwand
besorgen: 2 Hochschränke (1 x Keiper + 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</si>
</sst>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rgb="FF1F497D"/>
      <name val="Times New Roman"/>
      <family val="1"/>
    </font>
    <font>
      <sz val="10"/>
      <color indexed="8"/>
      <name val="Arial"/>
      <family val="2"/>
    </font>
    <font>
      <i/>
      <sz val="10"/>
      <color rgb="FFFF0000"/>
      <name val="Arial"/>
      <family val="2"/>
    </font>
    <font>
      <b/>
      <sz val="10"/>
      <color rgb="FF00B050"/>
      <name val="Arial"/>
      <family val="2"/>
    </font>
    <font>
      <sz val="8"/>
      <name val="Arial"/>
      <family val="2"/>
    </font>
    <font>
      <sz val="12"/>
      <color rgb="FF1F497D"/>
      <name val="Times New Roman"/>
      <family val="1"/>
    </font>
    <font>
      <b/>
      <sz val="10"/>
      <name val="Arial"/>
      <family val="2"/>
    </font>
    <font>
      <sz val="10"/>
      <color theme="4" tint="-0.249977111117893"/>
      <name val="Arial"/>
      <family val="2"/>
    </font>
    <font>
      <i/>
      <sz val="10"/>
      <color theme="3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theme="3"/>
      <name val="Arial"/>
      <family val="2"/>
    </font>
    <font>
      <sz val="12"/>
      <color theme="3"/>
      <name val="Times New Roman"/>
      <family val="1"/>
    </font>
    <font>
      <sz val="10"/>
      <color theme="3"/>
      <name val="Arial"/>
      <family val="2"/>
    </font>
    <font>
      <i/>
      <sz val="12"/>
      <color theme="3"/>
      <name val="Times New Roman"/>
      <family val="1"/>
    </font>
    <font>
      <u/>
      <sz val="10"/>
      <color theme="3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2"/>
      <color rgb="FFFF0000"/>
      <name val="Times New Roman"/>
      <family val="1"/>
    </font>
    <font>
      <sz val="10"/>
      <color rgb="FFFF0000"/>
      <name val="Arial"/>
      <family val="2"/>
    </font>
    <font>
      <b/>
      <i/>
      <sz val="10"/>
      <color theme="3"/>
      <name val="Arial"/>
      <family val="2"/>
    </font>
    <font>
      <sz val="12"/>
      <color theme="3"/>
      <name val="Times New Roman"/>
    </font>
    <font>
      <sz val="10"/>
      <color theme="3"/>
      <name val="Arial"/>
    </font>
    <font>
      <i/>
      <sz val="12"/>
      <name val="Times New Roman"/>
      <family val="1"/>
    </font>
    <font>
      <sz val="10"/>
      <color rgb="FF00B050"/>
      <name val="Arial"/>
      <family val="2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8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643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3" fontId="8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/>
      <protection locked="0"/>
    </xf>
    <xf numFmtId="3" fontId="8" fillId="0" borderId="1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0" fontId="8" fillId="0" borderId="1" xfId="0" quotePrefix="1" applyFont="1" applyBorder="1" applyAlignment="1" applyProtection="1">
      <alignment horizontal="center" vertical="center"/>
      <protection locked="0"/>
    </xf>
    <xf numFmtId="0" fontId="8" fillId="0" borderId="1" xfId="0" quotePrefix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8" fillId="0" borderId="8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 vertical="center"/>
    </xf>
    <xf numFmtId="0" fontId="5" fillId="0" borderId="16" xfId="0" applyFont="1" applyBorder="1" applyAlignment="1" applyProtection="1">
      <alignment horizontal="center" vertical="center"/>
    </xf>
    <xf numFmtId="0" fontId="6" fillId="0" borderId="16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10" fillId="0" borderId="21" xfId="0" applyFont="1" applyBorder="1" applyAlignment="1" applyProtection="1">
      <alignment horizontal="center" vertical="center"/>
      <protection locked="0"/>
    </xf>
    <xf numFmtId="0" fontId="10" fillId="0" borderId="21" xfId="0" applyFont="1" applyFill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5" fillId="2" borderId="23" xfId="0" applyFont="1" applyFill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horizontal="center" vertical="center" wrapText="1"/>
    </xf>
    <xf numFmtId="0" fontId="6" fillId="0" borderId="16" xfId="0" applyFont="1" applyBorder="1" applyAlignment="1" applyProtection="1">
      <alignment horizontal="center" vertical="center" wrapText="1"/>
    </xf>
    <xf numFmtId="0" fontId="13" fillId="0" borderId="4" xfId="0" applyFont="1" applyBorder="1" applyAlignment="1" applyProtection="1">
      <alignment horizontal="center" vertical="center" textRotation="90" wrapText="1"/>
    </xf>
    <xf numFmtId="0" fontId="13" fillId="0" borderId="16" xfId="0" applyFont="1" applyBorder="1" applyAlignment="1" applyProtection="1">
      <alignment horizontal="center" vertical="center" textRotation="90" wrapText="1"/>
    </xf>
    <xf numFmtId="0" fontId="13" fillId="0" borderId="6" xfId="0" applyFont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center"/>
    </xf>
    <xf numFmtId="0" fontId="5" fillId="0" borderId="5" xfId="0" applyFont="1" applyBorder="1" applyAlignment="1" applyProtection="1">
      <alignment horizontal="center" vertical="center"/>
    </xf>
    <xf numFmtId="0" fontId="5" fillId="2" borderId="2" xfId="0" applyFont="1" applyFill="1" applyBorder="1" applyAlignment="1" applyProtection="1"/>
    <xf numFmtId="0" fontId="5" fillId="2" borderId="24" xfId="0" applyFont="1" applyFill="1" applyBorder="1" applyAlignment="1" applyProtection="1"/>
    <xf numFmtId="0" fontId="5" fillId="2" borderId="23" xfId="0" applyFont="1" applyFill="1" applyBorder="1" applyAlignment="1" applyProtection="1">
      <alignment horizontal="center"/>
    </xf>
    <xf numFmtId="0" fontId="5" fillId="0" borderId="0" xfId="0" applyFont="1" applyBorder="1" applyAlignment="1">
      <alignment horizont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Font="1" applyAlignment="1">
      <alignment horizontal="center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/>
    <xf numFmtId="0" fontId="0" fillId="0" borderId="1" xfId="0" applyFont="1" applyBorder="1" applyAlignment="1" applyProtection="1">
      <alignment horizontal="center" vertical="center" wrapText="1"/>
      <protection locked="0"/>
    </xf>
    <xf numFmtId="14" fontId="16" fillId="4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6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 applyProtection="1">
      <alignment horizontal="center" vertical="center"/>
    </xf>
    <xf numFmtId="0" fontId="5" fillId="0" borderId="14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3" xfId="0" quotePrefix="1" applyFont="1" applyBorder="1" applyAlignment="1" applyProtection="1">
      <alignment horizontal="center" vertical="center"/>
    </xf>
    <xf numFmtId="0" fontId="6" fillId="0" borderId="31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19" xfId="0" applyFont="1" applyBorder="1" applyAlignment="1" applyProtection="1">
      <alignment horizontal="center" vertical="center" wrapText="1"/>
    </xf>
    <xf numFmtId="0" fontId="13" fillId="0" borderId="28" xfId="0" applyFont="1" applyBorder="1" applyAlignment="1" applyProtection="1">
      <alignment horizontal="center" vertical="center" textRotation="90" wrapText="1"/>
    </xf>
    <xf numFmtId="0" fontId="13" fillId="0" borderId="19" xfId="0" applyFont="1" applyBorder="1" applyAlignment="1" applyProtection="1">
      <alignment horizontal="center" vertical="center" textRotation="90" wrapText="1"/>
    </xf>
    <xf numFmtId="0" fontId="13" fillId="0" borderId="3" xfId="0" applyFont="1" applyBorder="1" applyAlignment="1" applyProtection="1">
      <alignment horizontal="center" vertical="center" textRotation="90" wrapText="1"/>
    </xf>
    <xf numFmtId="0" fontId="13" fillId="0" borderId="0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/>
    <xf numFmtId="3" fontId="8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 applyProtection="1">
      <alignment horizontal="center" vertical="center"/>
      <protection locked="0"/>
    </xf>
    <xf numFmtId="3" fontId="0" fillId="0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/>
    <xf numFmtId="3" fontId="0" fillId="0" borderId="1" xfId="0" applyNumberFormat="1" applyFont="1" applyBorder="1" applyAlignment="1" applyProtection="1">
      <alignment horizontal="center" vertical="center"/>
      <protection locked="0"/>
    </xf>
    <xf numFmtId="0" fontId="15" fillId="0" borderId="1" xfId="0" applyFont="1" applyBorder="1"/>
    <xf numFmtId="0" fontId="14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/>
      <protection locked="0"/>
    </xf>
    <xf numFmtId="1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8" fillId="0" borderId="9" xfId="0" applyNumberFormat="1" applyFont="1" applyBorder="1" applyAlignment="1" applyProtection="1">
      <alignment horizontal="center" vertical="center"/>
      <protection locked="0"/>
    </xf>
    <xf numFmtId="14" fontId="0" fillId="0" borderId="9" xfId="0" applyNumberFormat="1" applyFont="1" applyFill="1" applyBorder="1" applyAlignment="1" applyProtection="1">
      <alignment horizontal="center" vertical="center"/>
      <protection locked="0"/>
    </xf>
    <xf numFmtId="14" fontId="0" fillId="0" borderId="9" xfId="0" applyNumberFormat="1" applyFont="1" applyBorder="1" applyAlignment="1" applyProtection="1">
      <alignment horizontal="center" vertical="center"/>
      <protection locked="0"/>
    </xf>
    <xf numFmtId="14" fontId="0" fillId="0" borderId="8" xfId="0" applyNumberFormat="1" applyFont="1" applyBorder="1" applyAlignment="1" applyProtection="1">
      <alignment horizontal="center" vertical="center"/>
      <protection locked="0"/>
    </xf>
    <xf numFmtId="14" fontId="8" fillId="0" borderId="8" xfId="0" applyNumberFormat="1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</xf>
    <xf numFmtId="0" fontId="5" fillId="2" borderId="25" xfId="0" applyFont="1" applyFill="1" applyBorder="1" applyAlignment="1" applyProtection="1"/>
    <xf numFmtId="0" fontId="5" fillId="0" borderId="4" xfId="0" applyFont="1" applyBorder="1" applyAlignment="1" applyProtection="1">
      <alignment horizontal="center" vertical="center"/>
    </xf>
    <xf numFmtId="14" fontId="0" fillId="0" borderId="21" xfId="0" applyNumberFormat="1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 textRotation="90" wrapText="1"/>
    </xf>
    <xf numFmtId="0" fontId="6" fillId="0" borderId="15" xfId="0" applyFont="1" applyBorder="1" applyAlignment="1" applyProtection="1">
      <alignment horizontal="center" vertical="center" wrapText="1"/>
    </xf>
    <xf numFmtId="0" fontId="6" fillId="0" borderId="17" xfId="0" applyFont="1" applyBorder="1" applyAlignment="1" applyProtection="1">
      <alignment horizontal="center" vertical="center" wrapText="1"/>
    </xf>
    <xf numFmtId="0" fontId="6" fillId="0" borderId="16" xfId="0" quotePrefix="1" applyFont="1" applyBorder="1" applyAlignment="1" applyProtection="1">
      <alignment horizontal="center" vertical="center" wrapText="1"/>
    </xf>
    <xf numFmtId="0" fontId="6" fillId="0" borderId="4" xfId="0" quotePrefix="1" applyFont="1" applyBorder="1" applyAlignment="1" applyProtection="1">
      <alignment horizontal="center" vertical="center"/>
    </xf>
    <xf numFmtId="14" fontId="8" fillId="0" borderId="18" xfId="0" applyNumberFormat="1" applyFont="1" applyFill="1" applyBorder="1" applyAlignment="1" applyProtection="1">
      <alignment horizontal="center" vertical="center"/>
      <protection locked="0"/>
    </xf>
    <xf numFmtId="0" fontId="10" fillId="0" borderId="18" xfId="0" quotePrefix="1" applyFont="1" applyFill="1" applyBorder="1" applyAlignment="1" applyProtection="1">
      <alignment horizontal="center" vertical="center"/>
      <protection locked="0"/>
    </xf>
    <xf numFmtId="0" fontId="17" fillId="0" borderId="32" xfId="0" applyFont="1" applyFill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32" xfId="0" applyFont="1" applyFill="1" applyBorder="1" applyAlignment="1" applyProtection="1">
      <alignment horizontal="center" vertical="center" wrapText="1"/>
      <protection locked="0"/>
    </xf>
    <xf numFmtId="0" fontId="17" fillId="0" borderId="8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Border="1" applyAlignment="1" applyProtection="1">
      <alignment horizontal="center" vertical="center"/>
      <protection locked="0"/>
    </xf>
    <xf numFmtId="0" fontId="18" fillId="0" borderId="0" xfId="0" applyFont="1" applyBorder="1"/>
    <xf numFmtId="0" fontId="18" fillId="0" borderId="1" xfId="0" applyFont="1" applyBorder="1"/>
    <xf numFmtId="0" fontId="20" fillId="0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2" fillId="0" borderId="10" xfId="0" applyFont="1" applyBorder="1" applyAlignment="1" applyProtection="1">
      <alignment horizontal="center" vertical="center" wrapText="1"/>
      <protection locked="0"/>
    </xf>
    <xf numFmtId="14" fontId="22" fillId="0" borderId="29" xfId="0" applyNumberFormat="1" applyFont="1" applyBorder="1" applyAlignment="1" applyProtection="1">
      <alignment horizontal="center" vertical="center"/>
      <protection locked="0"/>
    </xf>
    <xf numFmtId="14" fontId="22" fillId="0" borderId="30" xfId="0" applyNumberFormat="1" applyFont="1" applyFill="1" applyBorder="1" applyAlignment="1" applyProtection="1">
      <alignment horizontal="center" vertical="center"/>
      <protection locked="0"/>
    </xf>
    <xf numFmtId="14" fontId="22" fillId="4" borderId="10" xfId="0" applyNumberFormat="1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0" fontId="22" fillId="0" borderId="32" xfId="0" applyFont="1" applyFill="1" applyBorder="1" applyAlignment="1">
      <alignment horizontal="center"/>
    </xf>
    <xf numFmtId="0" fontId="22" fillId="0" borderId="22" xfId="0" applyFont="1" applyFill="1" applyBorder="1" applyAlignment="1" applyProtection="1">
      <alignment horizontal="center" vertical="center"/>
      <protection locked="0"/>
    </xf>
    <xf numFmtId="3" fontId="22" fillId="0" borderId="23" xfId="0" applyNumberFormat="1" applyFont="1" applyFill="1" applyBorder="1" applyAlignment="1" applyProtection="1">
      <alignment horizontal="center" vertical="center"/>
      <protection locked="0"/>
    </xf>
    <xf numFmtId="0" fontId="22" fillId="0" borderId="24" xfId="0" applyFont="1" applyFill="1" applyBorder="1" applyAlignment="1" applyProtection="1">
      <alignment horizontal="center" vertical="center"/>
      <protection locked="0"/>
    </xf>
    <xf numFmtId="0" fontId="22" fillId="0" borderId="27" xfId="0" applyFont="1" applyFill="1" applyBorder="1" applyAlignment="1" applyProtection="1">
      <alignment horizontal="center" vertical="center"/>
      <protection locked="0"/>
    </xf>
    <xf numFmtId="0" fontId="22" fillId="0" borderId="33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wrapText="1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 applyProtection="1">
      <alignment horizontal="center" vertical="center" wrapText="1"/>
      <protection locked="0"/>
    </xf>
    <xf numFmtId="14" fontId="22" fillId="0" borderId="21" xfId="0" applyNumberFormat="1" applyFont="1" applyBorder="1" applyAlignment="1" applyProtection="1">
      <alignment horizontal="center" vertical="center"/>
      <protection locked="0"/>
    </xf>
    <xf numFmtId="14" fontId="22" fillId="0" borderId="1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8" xfId="0" applyFont="1" applyFill="1" applyBorder="1" applyAlignment="1">
      <alignment horizontal="center"/>
    </xf>
    <xf numFmtId="0" fontId="22" fillId="0" borderId="18" xfId="0" applyFont="1" applyFill="1" applyBorder="1" applyAlignment="1" applyProtection="1">
      <alignment horizontal="center" vertical="center"/>
      <protection locked="0"/>
    </xf>
    <xf numFmtId="3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Font="1" applyFill="1" applyBorder="1" applyAlignment="1" applyProtection="1">
      <alignment horizontal="center" vertical="center"/>
      <protection locked="0"/>
    </xf>
    <xf numFmtId="0" fontId="22" fillId="0" borderId="9" xfId="0" applyFont="1" applyFill="1" applyBorder="1" applyAlignment="1" applyProtection="1">
      <alignment horizontal="center" vertical="center"/>
      <protection locked="0"/>
    </xf>
    <xf numFmtId="0" fontId="22" fillId="0" borderId="1" xfId="0" applyFont="1" applyFill="1" applyBorder="1" applyAlignment="1" applyProtection="1">
      <alignment horizontal="center" vertical="center"/>
      <protection locked="0"/>
    </xf>
    <xf numFmtId="0" fontId="22" fillId="0" borderId="1" xfId="0" applyFont="1" applyFill="1" applyBorder="1"/>
    <xf numFmtId="0" fontId="23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1" xfId="0" applyFont="1" applyBorder="1" applyAlignment="1" applyProtection="1">
      <alignment horizontal="center" vertical="center"/>
      <protection locked="0"/>
    </xf>
    <xf numFmtId="14" fontId="17" fillId="0" borderId="18" xfId="0" applyNumberFormat="1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1" xfId="0" quotePrefix="1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18" xfId="0" applyFont="1" applyBorder="1" applyAlignment="1" applyProtection="1">
      <alignment horizontal="center" vertical="center"/>
      <protection locked="0"/>
    </xf>
    <xf numFmtId="3" fontId="17" fillId="0" borderId="1" xfId="0" quotePrefix="1" applyNumberFormat="1" applyFont="1" applyBorder="1" applyAlignment="1" applyProtection="1">
      <alignment horizontal="center" vertical="center"/>
      <protection locked="0"/>
    </xf>
    <xf numFmtId="0" fontId="17" fillId="0" borderId="9" xfId="0" applyFont="1" applyFill="1" applyBorder="1" applyAlignment="1" applyProtection="1">
      <alignment horizontal="center" vertical="center"/>
      <protection locked="0"/>
    </xf>
    <xf numFmtId="0" fontId="17" fillId="0" borderId="9" xfId="0" applyFont="1" applyBorder="1" applyAlignment="1" applyProtection="1">
      <alignment horizontal="center" vertical="center"/>
      <protection locked="0"/>
    </xf>
    <xf numFmtId="0" fontId="17" fillId="0" borderId="1" xfId="0" quotePrefix="1" applyFont="1" applyBorder="1"/>
    <xf numFmtId="0" fontId="21" fillId="0" borderId="34" xfId="0" applyFont="1" applyBorder="1" applyAlignment="1">
      <alignment horizontal="left" vertical="center" wrapText="1"/>
    </xf>
    <xf numFmtId="0" fontId="22" fillId="0" borderId="34" xfId="0" applyFont="1" applyBorder="1" applyAlignment="1" applyProtection="1">
      <alignment horizontal="center" vertical="center" wrapText="1"/>
      <protection locked="0"/>
    </xf>
    <xf numFmtId="14" fontId="22" fillId="0" borderId="35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36" xfId="0" applyFont="1" applyFill="1" applyBorder="1" applyAlignment="1" applyProtection="1">
      <alignment horizontal="center" vertical="center"/>
      <protection locked="0"/>
    </xf>
    <xf numFmtId="0" fontId="22" fillId="0" borderId="34" xfId="0" applyFont="1" applyFill="1" applyBorder="1" applyAlignment="1" applyProtection="1">
      <alignment horizontal="center" vertical="center"/>
      <protection locked="0"/>
    </xf>
    <xf numFmtId="0" fontId="22" fillId="0" borderId="34" xfId="0" applyFont="1" applyBorder="1" applyAlignment="1" applyProtection="1">
      <alignment horizontal="left" vertical="center" wrapText="1"/>
      <protection locked="0"/>
    </xf>
    <xf numFmtId="14" fontId="22" fillId="0" borderId="26" xfId="0" applyNumberFormat="1" applyFont="1" applyFill="1" applyBorder="1" applyAlignment="1" applyProtection="1">
      <alignment horizontal="center" vertical="center"/>
      <protection locked="0"/>
    </xf>
    <xf numFmtId="0" fontId="22" fillId="0" borderId="34" xfId="0" applyFont="1" applyBorder="1" applyAlignment="1" applyProtection="1">
      <alignment horizontal="center" vertical="center"/>
      <protection locked="0"/>
    </xf>
    <xf numFmtId="0" fontId="22" fillId="0" borderId="20" xfId="0" applyFont="1" applyBorder="1" applyAlignment="1" applyProtection="1">
      <alignment horizontal="center"/>
      <protection locked="0"/>
    </xf>
    <xf numFmtId="0" fontId="22" fillId="0" borderId="37" xfId="0" applyFont="1" applyBorder="1" applyAlignment="1" applyProtection="1">
      <alignment horizontal="center" vertical="center"/>
      <protection locked="0"/>
    </xf>
    <xf numFmtId="3" fontId="22" fillId="0" borderId="34" xfId="0" applyNumberFormat="1" applyFont="1" applyBorder="1" applyAlignment="1" applyProtection="1">
      <alignment horizontal="center" vertical="center"/>
      <protection locked="0"/>
    </xf>
    <xf numFmtId="0" fontId="22" fillId="0" borderId="20" xfId="0" applyFont="1" applyBorder="1" applyAlignment="1">
      <alignment horizontal="center" vertical="center"/>
    </xf>
    <xf numFmtId="0" fontId="20" fillId="0" borderId="36" xfId="0" applyFont="1" applyFill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9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left" wrapText="1"/>
    </xf>
    <xf numFmtId="0" fontId="21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 applyProtection="1">
      <alignment horizontal="center"/>
      <protection locked="0"/>
    </xf>
    <xf numFmtId="0" fontId="22" fillId="0" borderId="18" xfId="0" applyFont="1" applyBorder="1" applyAlignment="1" applyProtection="1">
      <alignment horizontal="center" vertical="center"/>
      <protection locked="0"/>
    </xf>
    <xf numFmtId="3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 wrapText="1"/>
    </xf>
    <xf numFmtId="0" fontId="21" fillId="0" borderId="10" xfId="0" applyFont="1" applyFill="1" applyBorder="1" applyAlignment="1">
      <alignment horizontal="left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2" fillId="0" borderId="29" xfId="0" applyFont="1" applyFill="1" applyBorder="1" applyAlignment="1" applyProtection="1">
      <alignment horizontal="center" vertical="center"/>
      <protection locked="0"/>
    </xf>
    <xf numFmtId="0" fontId="22" fillId="0" borderId="30" xfId="0" applyFont="1" applyFill="1" applyBorder="1" applyAlignment="1" applyProtection="1">
      <alignment horizontal="center" vertical="center"/>
      <protection locked="0"/>
    </xf>
    <xf numFmtId="3" fontId="22" fillId="0" borderId="10" xfId="0" applyNumberFormat="1" applyFont="1" applyFill="1" applyBorder="1" applyAlignment="1" applyProtection="1">
      <alignment horizontal="center" vertical="center"/>
      <protection locked="0"/>
    </xf>
    <xf numFmtId="0" fontId="22" fillId="0" borderId="32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/>
    <xf numFmtId="0" fontId="22" fillId="0" borderId="1" xfId="0" applyFont="1" applyFill="1" applyBorder="1" applyAlignment="1">
      <alignment horizontal="center" vertical="center" wrapText="1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3" fontId="22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8" xfId="0" applyFont="1" applyFill="1" applyBorder="1" applyAlignment="1" applyProtection="1">
      <alignment horizontal="center" vertical="center" wrapText="1"/>
      <protection locked="0"/>
    </xf>
    <xf numFmtId="0" fontId="22" fillId="0" borderId="8" xfId="0" quotePrefix="1" applyFont="1" applyFill="1" applyBorder="1" applyAlignment="1" applyProtection="1">
      <alignment horizontal="center" vertical="center"/>
      <protection locked="0"/>
    </xf>
    <xf numFmtId="0" fontId="22" fillId="0" borderId="1" xfId="0" applyFont="1" applyFill="1" applyBorder="1" applyAlignment="1">
      <alignment wrapText="1"/>
    </xf>
    <xf numFmtId="3" fontId="22" fillId="0" borderId="1" xfId="0" quotePrefix="1" applyNumberFormat="1" applyFont="1" applyBorder="1" applyAlignment="1" applyProtection="1">
      <alignment horizontal="center" vertical="center"/>
      <protection locked="0"/>
    </xf>
    <xf numFmtId="0" fontId="22" fillId="0" borderId="1" xfId="0" quotePrefix="1" applyFont="1" applyBorder="1" applyAlignment="1">
      <alignment horizontal="left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9" xfId="0" applyFont="1" applyBorder="1" applyAlignment="1" applyProtection="1">
      <alignment horizontal="center" vertical="center"/>
      <protection locked="0"/>
    </xf>
    <xf numFmtId="0" fontId="22" fillId="0" borderId="1" xfId="0" quotePrefix="1" applyFont="1" applyBorder="1"/>
    <xf numFmtId="0" fontId="22" fillId="0" borderId="1" xfId="0" applyFont="1" applyFill="1" applyBorder="1" applyAlignment="1">
      <alignment vertical="top" wrapText="1"/>
    </xf>
    <xf numFmtId="0" fontId="25" fillId="5" borderId="9" xfId="0" applyFont="1" applyFill="1" applyBorder="1" applyAlignment="1" applyProtection="1">
      <alignment horizontal="center" vertical="center"/>
      <protection locked="0"/>
    </xf>
    <xf numFmtId="0" fontId="25" fillId="5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/>
    <xf numFmtId="0" fontId="8" fillId="0" borderId="42" xfId="0" applyFont="1" applyBorder="1" applyAlignment="1" applyProtection="1">
      <alignment horizontal="center" vertical="center"/>
      <protection locked="0"/>
    </xf>
    <xf numFmtId="3" fontId="8" fillId="0" borderId="43" xfId="0" quotePrefix="1" applyNumberFormat="1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22" fillId="0" borderId="39" xfId="0" applyFont="1" applyFill="1" applyBorder="1" applyAlignment="1" applyProtection="1">
      <alignment horizontal="center" vertical="center"/>
      <protection locked="0"/>
    </xf>
    <xf numFmtId="3" fontId="22" fillId="0" borderId="4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1" xfId="0" applyFont="1" applyFill="1" applyBorder="1" applyAlignment="1" applyProtection="1">
      <alignment horizontal="center" vertical="center" wrapText="1"/>
      <protection locked="0"/>
    </xf>
    <xf numFmtId="0" fontId="8" fillId="5" borderId="42" xfId="0" applyFont="1" applyFill="1" applyBorder="1" applyAlignment="1" applyProtection="1">
      <alignment horizontal="center" vertical="center"/>
      <protection locked="0"/>
    </xf>
    <xf numFmtId="0" fontId="8" fillId="5" borderId="43" xfId="0" applyFont="1" applyFill="1" applyBorder="1" applyAlignment="1" applyProtection="1">
      <alignment horizontal="center" vertical="center"/>
      <protection locked="0"/>
    </xf>
    <xf numFmtId="0" fontId="8" fillId="5" borderId="38" xfId="0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center"/>
    </xf>
    <xf numFmtId="0" fontId="22" fillId="0" borderId="40" xfId="0" applyFont="1" applyFill="1" applyBorder="1" applyAlignment="1" applyProtection="1">
      <alignment horizontal="center" vertical="center"/>
      <protection locked="0"/>
    </xf>
    <xf numFmtId="0" fontId="22" fillId="0" borderId="41" xfId="0" applyFont="1" applyFill="1" applyBorder="1" applyAlignment="1" applyProtection="1">
      <alignment horizontal="center" vertical="center"/>
      <protection locked="0"/>
    </xf>
    <xf numFmtId="14" fontId="0" fillId="0" borderId="8" xfId="0" applyNumberFormat="1" applyFont="1" applyFill="1" applyBorder="1" applyAlignment="1" applyProtection="1">
      <alignment horizontal="center" vertical="center"/>
      <protection locked="0"/>
    </xf>
    <xf numFmtId="14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 wrapText="1"/>
    </xf>
    <xf numFmtId="0" fontId="22" fillId="0" borderId="44" xfId="0" applyFont="1" applyBorder="1" applyAlignment="1" applyProtection="1">
      <alignment horizontal="center" vertical="center"/>
      <protection locked="0"/>
    </xf>
    <xf numFmtId="0" fontId="22" fillId="0" borderId="45" xfId="0" applyFont="1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 wrapText="1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22" fillId="0" borderId="45" xfId="0" applyFont="1" applyBorder="1" applyAlignment="1">
      <alignment horizontal="center"/>
    </xf>
    <xf numFmtId="14" fontId="16" fillId="4" borderId="44" xfId="0" applyNumberFormat="1" applyFont="1" applyFill="1" applyBorder="1" applyAlignment="1">
      <alignment horizontal="center" vertical="center"/>
    </xf>
    <xf numFmtId="0" fontId="16" fillId="4" borderId="44" xfId="0" applyFont="1" applyFill="1" applyBorder="1" applyAlignment="1">
      <alignment horizontal="center" vertical="center"/>
    </xf>
    <xf numFmtId="0" fontId="16" fillId="4" borderId="45" xfId="0" applyFont="1" applyFill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14" fontId="16" fillId="0" borderId="44" xfId="0" applyNumberFormat="1" applyFont="1" applyBorder="1" applyAlignment="1">
      <alignment horizontal="center" vertical="center"/>
    </xf>
    <xf numFmtId="0" fontId="27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 applyProtection="1">
      <alignment horizontal="center" vertical="center"/>
      <protection locked="0"/>
    </xf>
    <xf numFmtId="0" fontId="26" fillId="0" borderId="1" xfId="0" applyFont="1" applyFill="1" applyBorder="1"/>
    <xf numFmtId="0" fontId="26" fillId="0" borderId="0" xfId="0" applyFont="1" applyFill="1" applyBorder="1"/>
    <xf numFmtId="0" fontId="28" fillId="0" borderId="0" xfId="0" applyFont="1" applyFill="1" applyBorder="1" applyAlignment="1" applyProtection="1">
      <alignment horizontal="center" vertical="center"/>
      <protection locked="0"/>
    </xf>
    <xf numFmtId="0" fontId="8" fillId="0" borderId="44" xfId="0" applyFont="1" applyFill="1" applyBorder="1" applyAlignment="1" applyProtection="1">
      <alignment horizontal="center" vertical="center"/>
      <protection locked="0"/>
    </xf>
    <xf numFmtId="0" fontId="8" fillId="0" borderId="44" xfId="0" quotePrefix="1" applyFont="1" applyFill="1" applyBorder="1" applyAlignment="1" applyProtection="1">
      <alignment horizontal="center" vertical="center"/>
      <protection locked="0"/>
    </xf>
    <xf numFmtId="0" fontId="8" fillId="0" borderId="21" xfId="0" applyFont="1" applyFill="1" applyBorder="1" applyAlignment="1" applyProtection="1">
      <alignment horizontal="center" vertical="center"/>
      <protection locked="0"/>
    </xf>
    <xf numFmtId="0" fontId="28" fillId="0" borderId="21" xfId="0" applyFont="1" applyFill="1" applyBorder="1" applyAlignment="1" applyProtection="1">
      <alignment horizontal="center" vertical="center"/>
      <protection locked="0"/>
    </xf>
    <xf numFmtId="14" fontId="0" fillId="0" borderId="21" xfId="0" applyNumberFormat="1" applyFont="1" applyFill="1" applyBorder="1" applyAlignment="1" applyProtection="1">
      <alignment horizontal="center" vertical="center"/>
      <protection locked="0"/>
    </xf>
    <xf numFmtId="14" fontId="0" fillId="0" borderId="29" xfId="0" applyNumberFormat="1" applyFont="1" applyBorder="1" applyAlignment="1" applyProtection="1">
      <alignment horizontal="center" vertical="center"/>
      <protection locked="0"/>
    </xf>
    <xf numFmtId="0" fontId="8" fillId="0" borderId="46" xfId="0" applyFont="1" applyFill="1" applyBorder="1" applyAlignment="1" applyProtection="1">
      <alignment horizontal="center" vertical="center"/>
      <protection locked="0"/>
    </xf>
    <xf numFmtId="0" fontId="8" fillId="0" borderId="46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14" fontId="8" fillId="0" borderId="42" xfId="0" applyNumberFormat="1" applyFont="1" applyFill="1" applyBorder="1" applyAlignment="1" applyProtection="1">
      <alignment horizontal="center" vertical="center"/>
      <protection locked="0"/>
    </xf>
    <xf numFmtId="0" fontId="8" fillId="0" borderId="43" xfId="0" applyFont="1" applyFill="1" applyBorder="1" applyAlignment="1" applyProtection="1">
      <alignment horizontal="center" vertical="center"/>
      <protection locked="0"/>
    </xf>
    <xf numFmtId="0" fontId="8" fillId="0" borderId="45" xfId="0" applyFont="1" applyFill="1" applyBorder="1" applyAlignment="1" applyProtection="1">
      <alignment horizontal="center"/>
      <protection locked="0"/>
    </xf>
    <xf numFmtId="0" fontId="28" fillId="0" borderId="44" xfId="0" applyFont="1" applyFill="1" applyBorder="1" applyAlignment="1" applyProtection="1">
      <alignment horizontal="center" vertical="center"/>
      <protection locked="0"/>
    </xf>
    <xf numFmtId="14" fontId="16" fillId="0" borderId="44" xfId="0" applyNumberFormat="1" applyFont="1" applyFill="1" applyBorder="1" applyAlignment="1">
      <alignment horizontal="center" vertical="center"/>
    </xf>
    <xf numFmtId="0" fontId="16" fillId="0" borderId="44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horizontal="center" vertical="center"/>
    </xf>
    <xf numFmtId="0" fontId="16" fillId="0" borderId="44" xfId="0" quotePrefix="1" applyFont="1" applyBorder="1" applyAlignment="1">
      <alignment horizontal="center" vertical="center"/>
    </xf>
    <xf numFmtId="0" fontId="5" fillId="0" borderId="4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48" xfId="0" applyFont="1" applyBorder="1" applyAlignment="1">
      <alignment horizontal="center"/>
    </xf>
    <xf numFmtId="3" fontId="28" fillId="0" borderId="1" xfId="0" quotePrefix="1" applyNumberFormat="1" applyFont="1" applyFill="1" applyBorder="1" applyAlignment="1" applyProtection="1">
      <alignment horizontal="center" vertical="center"/>
      <protection locked="0"/>
    </xf>
    <xf numFmtId="3" fontId="22" fillId="0" borderId="3" xfId="0" quotePrefix="1" applyNumberFormat="1" applyFont="1" applyBorder="1" applyAlignment="1" applyProtection="1">
      <alignment horizontal="center" vertical="center"/>
      <protection locked="0"/>
    </xf>
    <xf numFmtId="3" fontId="8" fillId="0" borderId="10" xfId="0" quotePrefix="1" applyNumberFormat="1" applyFont="1" applyBorder="1" applyAlignment="1" applyProtection="1">
      <alignment horizontal="center" vertical="center"/>
      <protection locked="0"/>
    </xf>
    <xf numFmtId="0" fontId="16" fillId="0" borderId="44" xfId="0" quotePrefix="1" applyFont="1" applyFill="1" applyBorder="1" applyAlignment="1">
      <alignment horizontal="center" vertical="center"/>
    </xf>
    <xf numFmtId="0" fontId="22" fillId="0" borderId="44" xfId="0" applyFont="1" applyFill="1" applyBorder="1" applyAlignment="1" applyProtection="1">
      <alignment horizontal="center" vertical="center"/>
      <protection locked="0"/>
    </xf>
    <xf numFmtId="0" fontId="22" fillId="0" borderId="45" xfId="0" applyFont="1" applyFill="1" applyBorder="1" applyAlignment="1" applyProtection="1">
      <alignment horizontal="center" vertical="center"/>
      <protection locked="0"/>
    </xf>
    <xf numFmtId="0" fontId="11" fillId="0" borderId="29" xfId="0" applyFont="1" applyFill="1" applyBorder="1" applyAlignment="1" applyProtection="1">
      <alignment horizontal="center" vertical="center"/>
      <protection locked="0"/>
    </xf>
    <xf numFmtId="0" fontId="0" fillId="0" borderId="46" xfId="0" applyFont="1" applyBorder="1" applyAlignment="1" applyProtection="1">
      <alignment horizontal="center" vertical="center"/>
      <protection locked="0"/>
    </xf>
    <xf numFmtId="0" fontId="22" fillId="0" borderId="46" xfId="0" applyFont="1" applyFill="1" applyBorder="1" applyAlignment="1" applyProtection="1">
      <alignment horizontal="center" vertical="center"/>
      <protection locked="0"/>
    </xf>
    <xf numFmtId="14" fontId="0" fillId="0" borderId="18" xfId="0" applyNumberFormat="1" applyFont="1" applyBorder="1" applyAlignment="1" applyProtection="1">
      <alignment horizontal="center" vertical="center"/>
      <protection locked="0"/>
    </xf>
    <xf numFmtId="0" fontId="22" fillId="0" borderId="45" xfId="0" applyFont="1" applyBorder="1" applyAlignment="1" applyProtection="1">
      <alignment horizontal="center"/>
      <protection locked="0"/>
    </xf>
    <xf numFmtId="0" fontId="22" fillId="0" borderId="45" xfId="0" applyFont="1" applyFill="1" applyBorder="1" applyAlignment="1">
      <alignment horizontal="center"/>
    </xf>
    <xf numFmtId="14" fontId="22" fillId="0" borderId="39" xfId="0" applyNumberFormat="1" applyFont="1" applyFill="1" applyBorder="1" applyAlignment="1" applyProtection="1">
      <alignment horizontal="center" vertical="center"/>
      <protection locked="0"/>
    </xf>
    <xf numFmtId="0" fontId="22" fillId="0" borderId="41" xfId="0" applyFont="1" applyFill="1" applyBorder="1" applyAlignment="1">
      <alignment horizontal="center"/>
    </xf>
    <xf numFmtId="0" fontId="17" fillId="0" borderId="29" xfId="0" applyFont="1" applyFill="1" applyBorder="1" applyAlignment="1" applyProtection="1">
      <alignment horizontal="center" vertical="center" wrapText="1"/>
      <protection locked="0"/>
    </xf>
    <xf numFmtId="0" fontId="17" fillId="0" borderId="21" xfId="0" applyFont="1" applyFill="1" applyBorder="1" applyAlignment="1" applyProtection="1">
      <alignment horizontal="center" vertical="center" wrapText="1"/>
      <protection locked="0"/>
    </xf>
    <xf numFmtId="0" fontId="10" fillId="0" borderId="46" xfId="0" applyFont="1" applyBorder="1" applyAlignment="1" applyProtection="1">
      <alignment horizontal="center" vertical="center"/>
      <protection locked="0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45" xfId="0" applyFont="1" applyBorder="1" applyAlignment="1" applyProtection="1">
      <alignment horizontal="center" vertical="center"/>
      <protection locked="0"/>
    </xf>
    <xf numFmtId="14" fontId="16" fillId="0" borderId="34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0" fillId="0" borderId="3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</xf>
    <xf numFmtId="0" fontId="6" fillId="0" borderId="49" xfId="0" applyFont="1" applyBorder="1" applyAlignment="1" applyProtection="1">
      <alignment horizontal="center" vertical="center" wrapText="1"/>
    </xf>
    <xf numFmtId="0" fontId="6" fillId="0" borderId="7" xfId="0" applyFont="1" applyBorder="1" applyAlignment="1" applyProtection="1">
      <alignment horizontal="center" vertical="center" wrapText="1"/>
    </xf>
    <xf numFmtId="0" fontId="22" fillId="0" borderId="1" xfId="0" quotePrefix="1" applyFont="1" applyFill="1" applyBorder="1" applyAlignment="1" applyProtection="1">
      <alignment horizontal="center" vertical="center" wrapText="1"/>
      <protection locked="0"/>
    </xf>
    <xf numFmtId="0" fontId="22" fillId="0" borderId="1" xfId="0" quotePrefix="1" applyFont="1" applyBorder="1" applyAlignment="1" applyProtection="1">
      <alignment horizontal="center" vertical="center" wrapText="1"/>
      <protection locked="0"/>
    </xf>
    <xf numFmtId="14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1" fillId="0" borderId="34" xfId="0" applyFont="1" applyFill="1" applyBorder="1" applyAlignment="1">
      <alignment horizontal="left" vertical="center" wrapText="1"/>
    </xf>
    <xf numFmtId="0" fontId="22" fillId="0" borderId="34" xfId="0" applyFont="1" applyFill="1" applyBorder="1" applyAlignment="1">
      <alignment horizontal="center" vertical="center" wrapText="1"/>
    </xf>
    <xf numFmtId="0" fontId="22" fillId="0" borderId="35" xfId="0" applyFont="1" applyFill="1" applyBorder="1" applyAlignment="1" applyProtection="1">
      <alignment horizontal="center" vertical="center"/>
      <protection locked="0"/>
    </xf>
    <xf numFmtId="0" fontId="5" fillId="0" borderId="34" xfId="0" applyFont="1" applyFill="1" applyBorder="1"/>
    <xf numFmtId="0" fontId="31" fillId="0" borderId="44" xfId="0" applyFont="1" applyFill="1" applyBorder="1" applyAlignment="1">
      <alignment horizontal="center" vertical="center" wrapText="1"/>
    </xf>
    <xf numFmtId="0" fontId="31" fillId="0" borderId="44" xfId="0" applyFont="1" applyFill="1" applyBorder="1" applyAlignment="1" applyProtection="1">
      <alignment horizontal="center" vertical="center"/>
      <protection locked="0"/>
    </xf>
    <xf numFmtId="3" fontId="31" fillId="0" borderId="44" xfId="0" applyNumberFormat="1" applyFont="1" applyFill="1" applyBorder="1" applyAlignment="1" applyProtection="1">
      <alignment horizontal="center" vertical="center"/>
      <protection locked="0"/>
    </xf>
    <xf numFmtId="0" fontId="5" fillId="0" borderId="44" xfId="0" applyFont="1" applyBorder="1"/>
    <xf numFmtId="0" fontId="31" fillId="0" borderId="44" xfId="0" quotePrefix="1" applyFont="1" applyFill="1" applyBorder="1" applyAlignment="1" applyProtection="1">
      <alignment horizontal="center" vertical="center"/>
      <protection locked="0"/>
    </xf>
    <xf numFmtId="3" fontId="31" fillId="0" borderId="44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44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5" fillId="0" borderId="19" xfId="0" applyFont="1" applyBorder="1" applyAlignment="1" applyProtection="1">
      <alignment horizontal="center" vertical="center"/>
    </xf>
    <xf numFmtId="0" fontId="6" fillId="0" borderId="3" xfId="0" quotePrefix="1" applyFont="1" applyBorder="1" applyAlignment="1" applyProtection="1">
      <alignment horizontal="center" vertical="center" wrapText="1"/>
    </xf>
    <xf numFmtId="0" fontId="6" fillId="0" borderId="19" xfId="0" quotePrefix="1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 wrapText="1"/>
    </xf>
    <xf numFmtId="0" fontId="10" fillId="5" borderId="44" xfId="0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Border="1"/>
    <xf numFmtId="0" fontId="8" fillId="0" borderId="44" xfId="0" applyFont="1" applyBorder="1" applyAlignment="1" applyProtection="1">
      <alignment horizontal="center" vertical="center" wrapText="1"/>
      <protection locked="0"/>
    </xf>
    <xf numFmtId="14" fontId="8" fillId="0" borderId="45" xfId="0" applyNumberFormat="1" applyFont="1" applyBorder="1" applyAlignment="1" applyProtection="1">
      <alignment horizontal="center" vertical="center"/>
      <protection locked="0"/>
    </xf>
    <xf numFmtId="0" fontId="8" fillId="0" borderId="44" xfId="0" applyFont="1" applyBorder="1" applyAlignment="1" applyProtection="1">
      <alignment horizontal="center" vertical="center"/>
      <protection locked="0"/>
    </xf>
    <xf numFmtId="0" fontId="8" fillId="0" borderId="44" xfId="0" quotePrefix="1" applyFont="1" applyBorder="1" applyAlignment="1" applyProtection="1">
      <alignment horizontal="center" vertical="center"/>
      <protection locked="0"/>
    </xf>
    <xf numFmtId="3" fontId="8" fillId="0" borderId="44" xfId="0" applyNumberFormat="1" applyFont="1" applyBorder="1" applyAlignment="1" applyProtection="1">
      <alignment horizontal="center" vertical="center"/>
      <protection locked="0"/>
    </xf>
    <xf numFmtId="14" fontId="16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0" fillId="0" borderId="44" xfId="0" applyFont="1" applyFill="1" applyBorder="1" applyAlignment="1" applyProtection="1">
      <alignment horizontal="center" vertical="center" wrapText="1"/>
      <protection locked="0"/>
    </xf>
    <xf numFmtId="0" fontId="16" fillId="0" borderId="21" xfId="0" applyFont="1" applyFill="1" applyBorder="1" applyAlignment="1">
      <alignment horizontal="center" vertical="center"/>
    </xf>
    <xf numFmtId="0" fontId="0" fillId="0" borderId="46" xfId="0" applyFont="1" applyFill="1" applyBorder="1" applyAlignment="1" applyProtection="1">
      <alignment horizontal="center" vertical="center"/>
      <protection locked="0"/>
    </xf>
    <xf numFmtId="3" fontId="0" fillId="0" borderId="44" xfId="0" applyNumberFormat="1" applyFont="1" applyFill="1" applyBorder="1" applyAlignment="1" applyProtection="1">
      <alignment horizontal="center" vertical="center"/>
      <protection locked="0"/>
    </xf>
    <xf numFmtId="0" fontId="10" fillId="0" borderId="46" xfId="0" applyFont="1" applyFill="1" applyBorder="1" applyAlignment="1" applyProtection="1">
      <alignment horizontal="center" vertical="center"/>
      <protection locked="0"/>
    </xf>
    <xf numFmtId="0" fontId="10" fillId="0" borderId="44" xfId="0" applyFont="1" applyFill="1" applyBorder="1" applyAlignment="1" applyProtection="1">
      <alignment horizontal="center" vertical="center"/>
      <protection locked="0"/>
    </xf>
    <xf numFmtId="14" fontId="8" fillId="0" borderId="21" xfId="0" applyNumberFormat="1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9" fillId="0" borderId="10" xfId="0" applyFont="1" applyFill="1" applyBorder="1" applyAlignment="1">
      <alignment horizontal="left" vertical="center" wrapText="1"/>
    </xf>
    <xf numFmtId="14" fontId="8" fillId="0" borderId="32" xfId="0" applyNumberFormat="1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0" xfId="0" quotePrefix="1" applyFont="1" applyBorder="1" applyAlignment="1" applyProtection="1">
      <alignment horizontal="center" vertical="center"/>
      <protection locked="0"/>
    </xf>
    <xf numFmtId="0" fontId="5" fillId="0" borderId="10" xfId="0" applyFont="1" applyBorder="1"/>
    <xf numFmtId="0" fontId="22" fillId="0" borderId="34" xfId="0" applyFont="1" applyFill="1" applyBorder="1" applyAlignment="1">
      <alignment vertical="top" wrapText="1"/>
    </xf>
    <xf numFmtId="0" fontId="0" fillId="0" borderId="44" xfId="0" applyFont="1" applyBorder="1" applyAlignment="1" applyProtection="1">
      <alignment horizontal="center" vertical="center" wrapText="1"/>
      <protection locked="0"/>
    </xf>
    <xf numFmtId="14" fontId="0" fillId="0" borderId="45" xfId="0" applyNumberFormat="1" applyFont="1" applyBorder="1" applyAlignment="1" applyProtection="1">
      <alignment horizontal="center" vertical="center"/>
      <protection locked="0"/>
    </xf>
    <xf numFmtId="0" fontId="8" fillId="0" borderId="45" xfId="0" applyFont="1" applyFill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5" fillId="0" borderId="46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32" fillId="0" borderId="1" xfId="0" applyFont="1" applyBorder="1" applyAlignment="1">
      <alignment horizontal="left" vertical="center" wrapText="1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4" fontId="19" fillId="0" borderId="8" xfId="0" applyNumberFormat="1" applyFont="1" applyBorder="1" applyAlignment="1" applyProtection="1">
      <alignment horizontal="center" vertical="center"/>
      <protection locked="0"/>
    </xf>
    <xf numFmtId="14" fontId="19" fillId="0" borderId="9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32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5" borderId="44" xfId="0" applyFont="1" applyFill="1" applyBorder="1" applyAlignment="1" applyProtection="1">
      <alignment horizontal="center" vertical="center" wrapText="1"/>
      <protection locked="0"/>
    </xf>
    <xf numFmtId="14" fontId="0" fillId="5" borderId="45" xfId="0" applyNumberFormat="1" applyFont="1" applyFill="1" applyBorder="1" applyAlignment="1" applyProtection="1">
      <alignment horizontal="center" vertical="center"/>
      <protection locked="0"/>
    </xf>
    <xf numFmtId="0" fontId="8" fillId="0" borderId="18" xfId="0" applyFont="1" applyFill="1" applyBorder="1" applyAlignment="1" applyProtection="1">
      <alignment horizontal="center" vertical="center"/>
      <protection locked="0"/>
    </xf>
    <xf numFmtId="0" fontId="28" fillId="0" borderId="18" xfId="0" applyFont="1" applyFill="1" applyBorder="1" applyAlignment="1" applyProtection="1">
      <alignment horizontal="center" vertical="center"/>
      <protection locked="0"/>
    </xf>
    <xf numFmtId="0" fontId="28" fillId="0" borderId="1" xfId="0" applyFont="1" applyFill="1" applyBorder="1" applyAlignment="1">
      <alignment wrapText="1"/>
    </xf>
    <xf numFmtId="0" fontId="29" fillId="0" borderId="1" xfId="0" applyFont="1" applyFill="1" applyBorder="1" applyAlignment="1">
      <alignment horizontal="center" vertical="center"/>
    </xf>
    <xf numFmtId="0" fontId="17" fillId="0" borderId="1" xfId="0" applyFont="1" applyBorder="1" applyAlignment="1" applyProtection="1">
      <alignment horizontal="center" vertical="center" wrapText="1"/>
      <protection locked="0"/>
    </xf>
    <xf numFmtId="14" fontId="17" fillId="0" borderId="21" xfId="0" applyNumberFormat="1" applyFont="1" applyBorder="1" applyAlignment="1" applyProtection="1">
      <alignment horizontal="center" vertical="center"/>
      <protection locked="0"/>
    </xf>
    <xf numFmtId="0" fontId="17" fillId="0" borderId="44" xfId="0" applyFont="1" applyBorder="1" applyAlignment="1" applyProtection="1">
      <alignment horizontal="center" vertical="center"/>
      <protection locked="0"/>
    </xf>
    <xf numFmtId="3" fontId="17" fillId="0" borderId="44" xfId="0" applyNumberFormat="1" applyFont="1" applyBorder="1" applyAlignment="1" applyProtection="1">
      <alignment horizontal="center" vertical="center"/>
      <protection locked="0"/>
    </xf>
    <xf numFmtId="0" fontId="17" fillId="0" borderId="45" xfId="0" applyFont="1" applyBorder="1" applyAlignment="1" applyProtection="1">
      <alignment horizontal="center"/>
      <protection locked="0"/>
    </xf>
    <xf numFmtId="3" fontId="17" fillId="0" borderId="1" xfId="0" applyNumberFormat="1" applyFont="1" applyBorder="1" applyAlignment="1" applyProtection="1">
      <alignment horizontal="center" vertical="center"/>
      <protection locked="0"/>
    </xf>
    <xf numFmtId="0" fontId="29" fillId="0" borderId="8" xfId="0" applyFont="1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29" fillId="0" borderId="1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28" fillId="0" borderId="46" xfId="0" applyFont="1" applyFill="1" applyBorder="1" applyAlignment="1" applyProtection="1">
      <alignment horizontal="center" vertical="center"/>
      <protection locked="0"/>
    </xf>
    <xf numFmtId="0" fontId="28" fillId="0" borderId="45" xfId="0" applyFont="1" applyFill="1" applyBorder="1" applyAlignment="1">
      <alignment horizontal="center"/>
    </xf>
    <xf numFmtId="0" fontId="10" fillId="0" borderId="42" xfId="0" applyFont="1" applyFill="1" applyBorder="1" applyAlignment="1" applyProtection="1">
      <alignment horizontal="center" vertical="center"/>
      <protection locked="0"/>
    </xf>
    <xf numFmtId="0" fontId="10" fillId="0" borderId="43" xfId="0" applyFont="1" applyFill="1" applyBorder="1" applyAlignment="1" applyProtection="1">
      <alignment horizontal="center" vertical="center"/>
      <protection locked="0"/>
    </xf>
    <xf numFmtId="0" fontId="10" fillId="0" borderId="38" xfId="0" applyFont="1" applyFill="1" applyBorder="1" applyAlignment="1" applyProtection="1">
      <alignment horizontal="center" vertical="center"/>
      <protection locked="0"/>
    </xf>
    <xf numFmtId="0" fontId="10" fillId="0" borderId="18" xfId="0" applyFont="1" applyFill="1" applyBorder="1" applyAlignment="1" applyProtection="1">
      <alignment horizontal="center" vertical="center"/>
      <protection locked="0"/>
    </xf>
    <xf numFmtId="0" fontId="10" fillId="0" borderId="45" xfId="0" applyFont="1" applyFill="1" applyBorder="1" applyAlignment="1" applyProtection="1">
      <alignment horizontal="center" vertical="center"/>
      <protection locked="0"/>
    </xf>
    <xf numFmtId="0" fontId="28" fillId="0" borderId="45" xfId="0" applyFont="1" applyFill="1" applyBorder="1" applyAlignment="1" applyProtection="1">
      <alignment horizontal="center" vertical="center"/>
      <protection locked="0"/>
    </xf>
    <xf numFmtId="14" fontId="31" fillId="0" borderId="46" xfId="0" applyNumberFormat="1" applyFont="1" applyFill="1" applyBorder="1" applyAlignment="1" applyProtection="1">
      <alignment horizontal="center" vertical="center"/>
      <protection locked="0"/>
    </xf>
    <xf numFmtId="14" fontId="22" fillId="0" borderId="36" xfId="0" applyNumberFormat="1" applyFont="1" applyFill="1" applyBorder="1" applyAlignment="1" applyProtection="1">
      <alignment horizontal="center" vertical="center"/>
      <protection locked="0"/>
    </xf>
    <xf numFmtId="0" fontId="30" fillId="0" borderId="42" xfId="0" applyFont="1" applyFill="1" applyBorder="1" applyAlignment="1">
      <alignment horizontal="left" vertical="center" wrapText="1"/>
    </xf>
    <xf numFmtId="0" fontId="31" fillId="0" borderId="43" xfId="0" applyFont="1" applyFill="1" applyBorder="1" applyAlignment="1">
      <alignment horizontal="center" vertical="center" wrapText="1"/>
    </xf>
    <xf numFmtId="0" fontId="31" fillId="0" borderId="38" xfId="0" applyFont="1" applyFill="1" applyBorder="1" applyAlignment="1" applyProtection="1">
      <alignment horizontal="center" vertical="center"/>
      <protection locked="0"/>
    </xf>
    <xf numFmtId="0" fontId="30" fillId="0" borderId="18" xfId="0" applyFont="1" applyFill="1" applyBorder="1" applyAlignment="1">
      <alignment horizontal="left" vertical="center" wrapText="1"/>
    </xf>
    <xf numFmtId="0" fontId="31" fillId="0" borderId="45" xfId="0" applyFont="1" applyFill="1" applyBorder="1" applyAlignment="1" applyProtection="1">
      <alignment horizontal="center" vertical="center"/>
      <protection locked="0"/>
    </xf>
    <xf numFmtId="0" fontId="9" fillId="0" borderId="18" xfId="0" applyFont="1" applyFill="1" applyBorder="1" applyAlignment="1">
      <alignment horizontal="left" vertical="center" wrapText="1"/>
    </xf>
    <xf numFmtId="0" fontId="21" fillId="0" borderId="30" xfId="0" applyFont="1" applyFill="1" applyBorder="1" applyAlignment="1">
      <alignment horizontal="left" vertical="center" wrapText="1"/>
    </xf>
    <xf numFmtId="0" fontId="8" fillId="0" borderId="44" xfId="0" applyFont="1" applyFill="1" applyBorder="1" applyAlignment="1" applyProtection="1">
      <alignment horizontal="center" vertical="center" wrapText="1"/>
      <protection locked="0"/>
    </xf>
    <xf numFmtId="0" fontId="14" fillId="5" borderId="18" xfId="0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8" xfId="0" applyFont="1" applyFill="1" applyBorder="1" applyAlignment="1">
      <alignment horizontal="left" vertical="center" wrapText="1"/>
    </xf>
    <xf numFmtId="14" fontId="0" fillId="0" borderId="45" xfId="0" applyNumberFormat="1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left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 applyProtection="1">
      <alignment horizontal="center" vertical="center"/>
      <protection locked="0"/>
    </xf>
    <xf numFmtId="0" fontId="8" fillId="0" borderId="21" xfId="0" applyFont="1" applyFill="1" applyBorder="1" applyAlignment="1" applyProtection="1">
      <alignment horizontal="center"/>
      <protection locked="0"/>
    </xf>
    <xf numFmtId="0" fontId="0" fillId="0" borderId="21" xfId="0" applyFont="1" applyFill="1" applyBorder="1" applyAlignment="1">
      <alignment horizontal="center"/>
    </xf>
    <xf numFmtId="0" fontId="22" fillId="0" borderId="35" xfId="0" applyFont="1" applyFill="1" applyBorder="1" applyAlignment="1">
      <alignment horizontal="center"/>
    </xf>
    <xf numFmtId="0" fontId="10" fillId="5" borderId="46" xfId="0" applyFont="1" applyFill="1" applyBorder="1" applyAlignment="1" applyProtection="1">
      <alignment horizontal="center" vertical="center"/>
      <protection locked="0"/>
    </xf>
    <xf numFmtId="0" fontId="31" fillId="0" borderId="42" xfId="0" applyFont="1" applyFill="1" applyBorder="1" applyAlignment="1" applyProtection="1">
      <alignment horizontal="center" vertical="center"/>
      <protection locked="0"/>
    </xf>
    <xf numFmtId="3" fontId="31" fillId="0" borderId="43" xfId="0" applyNumberFormat="1" applyFont="1" applyFill="1" applyBorder="1" applyAlignment="1" applyProtection="1">
      <alignment horizontal="center" vertical="center"/>
      <protection locked="0"/>
    </xf>
    <xf numFmtId="0" fontId="31" fillId="0" borderId="18" xfId="0" applyFont="1" applyFill="1" applyBorder="1" applyAlignment="1" applyProtection="1">
      <alignment horizontal="center" vertical="center"/>
      <protection locked="0"/>
    </xf>
    <xf numFmtId="3" fontId="8" fillId="0" borderId="44" xfId="0" quotePrefix="1" applyNumberFormat="1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0" fillId="5" borderId="18" xfId="0" applyFont="1" applyFill="1" applyBorder="1" applyAlignment="1" applyProtection="1">
      <alignment horizontal="center" vertical="center"/>
      <protection locked="0"/>
    </xf>
    <xf numFmtId="0" fontId="10" fillId="5" borderId="45" xfId="0" applyFont="1" applyFill="1" applyBorder="1" applyAlignment="1" applyProtection="1">
      <alignment horizontal="center" vertical="center"/>
      <protection locked="0"/>
    </xf>
    <xf numFmtId="0" fontId="0" fillId="0" borderId="18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 applyProtection="1">
      <alignment horizontal="center" vertical="center"/>
      <protection locked="0"/>
    </xf>
    <xf numFmtId="3" fontId="22" fillId="0" borderId="16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17" xfId="0" applyFont="1" applyFill="1" applyBorder="1" applyAlignment="1" applyProtection="1">
      <alignment horizontal="center" vertical="center" wrapText="1"/>
      <protection locked="0"/>
    </xf>
    <xf numFmtId="0" fontId="6" fillId="0" borderId="31" xfId="0" applyFont="1" applyBorder="1" applyAlignment="1" applyProtection="1">
      <alignment horizontal="center" vertical="center" wrapText="1"/>
    </xf>
    <xf numFmtId="0" fontId="5" fillId="0" borderId="18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10" fillId="5" borderId="18" xfId="0" applyFont="1" applyFill="1" applyBorder="1" applyAlignment="1" applyProtection="1">
      <alignment horizontal="center" vertical="center"/>
      <protection locked="0"/>
    </xf>
    <xf numFmtId="0" fontId="8" fillId="0" borderId="21" xfId="0" applyFont="1" applyFill="1" applyBorder="1" applyAlignment="1" applyProtection="1">
      <alignment horizontal="center" vertical="center" wrapText="1"/>
      <protection locked="0"/>
    </xf>
    <xf numFmtId="0" fontId="8" fillId="0" borderId="21" xfId="0" applyFont="1" applyFill="1" applyBorder="1" applyAlignment="1">
      <alignment horizontal="center"/>
    </xf>
    <xf numFmtId="0" fontId="8" fillId="0" borderId="29" xfId="0" applyFont="1" applyBorder="1" applyAlignment="1" applyProtection="1">
      <alignment horizontal="center"/>
      <protection locked="0"/>
    </xf>
    <xf numFmtId="3" fontId="8" fillId="0" borderId="44" xfId="0" quotePrefix="1" applyNumberFormat="1" applyFont="1" applyFill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0" fontId="10" fillId="0" borderId="32" xfId="0" applyFont="1" applyBorder="1" applyAlignment="1" applyProtection="1">
      <alignment horizontal="center" vertical="center"/>
      <protection locked="0"/>
    </xf>
    <xf numFmtId="0" fontId="0" fillId="0" borderId="46" xfId="0" applyFont="1" applyBorder="1" applyAlignment="1">
      <alignment horizontal="center"/>
    </xf>
    <xf numFmtId="0" fontId="10" fillId="0" borderId="30" xfId="0" applyFont="1" applyBorder="1" applyAlignment="1" applyProtection="1">
      <alignment horizontal="center" vertical="center"/>
      <protection locked="0"/>
    </xf>
    <xf numFmtId="0" fontId="22" fillId="0" borderId="16" xfId="0" applyFont="1" applyFill="1" applyBorder="1" applyAlignment="1" applyProtection="1">
      <alignment horizontal="center" vertical="center"/>
      <protection locked="0"/>
    </xf>
    <xf numFmtId="0" fontId="8" fillId="0" borderId="38" xfId="0" applyFont="1" applyFill="1" applyBorder="1" applyAlignment="1">
      <alignment horizontal="center"/>
    </xf>
    <xf numFmtId="0" fontId="8" fillId="0" borderId="45" xfId="0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/>
    </xf>
    <xf numFmtId="3" fontId="28" fillId="0" borderId="44" xfId="0" quotePrefix="1" applyNumberFormat="1" applyFont="1" applyFill="1" applyBorder="1" applyAlignment="1" applyProtection="1">
      <alignment horizontal="center" vertical="center"/>
      <protection locked="0"/>
    </xf>
    <xf numFmtId="0" fontId="28" fillId="0" borderId="45" xfId="0" applyFont="1" applyFill="1" applyBorder="1" applyAlignment="1" applyProtection="1">
      <alignment horizontal="center" vertical="center" wrapText="1"/>
      <protection locked="0"/>
    </xf>
    <xf numFmtId="0" fontId="8" fillId="0" borderId="45" xfId="0" applyFont="1" applyBorder="1" applyAlignment="1" applyProtection="1">
      <alignment horizontal="center"/>
      <protection locked="0"/>
    </xf>
    <xf numFmtId="0" fontId="28" fillId="0" borderId="21" xfId="0" applyFont="1" applyFill="1" applyBorder="1" applyAlignment="1" applyProtection="1">
      <alignment horizontal="center" vertical="center" wrapText="1"/>
      <protection locked="0"/>
    </xf>
    <xf numFmtId="16" fontId="5" fillId="0" borderId="46" xfId="0" applyNumberFormat="1" applyFont="1" applyBorder="1" applyAlignment="1">
      <alignment horizontal="center"/>
    </xf>
    <xf numFmtId="0" fontId="8" fillId="0" borderId="42" xfId="0" applyFont="1" applyFill="1" applyBorder="1" applyAlignment="1" applyProtection="1">
      <alignment horizontal="center" vertical="center"/>
      <protection locked="0"/>
    </xf>
    <xf numFmtId="0" fontId="8" fillId="0" borderId="38" xfId="0" applyFont="1" applyFill="1" applyBorder="1" applyAlignment="1" applyProtection="1">
      <alignment horizontal="center" vertical="center"/>
      <protection locked="0"/>
    </xf>
    <xf numFmtId="0" fontId="28" fillId="0" borderId="45" xfId="0" quotePrefix="1" applyFont="1" applyFill="1" applyBorder="1" applyAlignment="1" applyProtection="1">
      <alignment horizontal="center" vertical="center"/>
      <protection locked="0"/>
    </xf>
    <xf numFmtId="16" fontId="5" fillId="0" borderId="18" xfId="0" applyNumberFormat="1" applyFont="1" applyBorder="1" applyAlignment="1">
      <alignment horizontal="center"/>
    </xf>
    <xf numFmtId="16" fontId="5" fillId="0" borderId="44" xfId="0" applyNumberFormat="1" applyFont="1" applyBorder="1" applyAlignment="1">
      <alignment horizontal="center"/>
    </xf>
    <xf numFmtId="16" fontId="5" fillId="0" borderId="45" xfId="0" applyNumberFormat="1" applyFont="1" applyBorder="1" applyAlignment="1">
      <alignment horizontal="center"/>
    </xf>
    <xf numFmtId="3" fontId="0" fillId="0" borderId="1" xfId="0" quotePrefix="1" applyNumberFormat="1" applyFont="1" applyBorder="1" applyAlignment="1" applyProtection="1">
      <alignment horizontal="center" vertical="center"/>
      <protection locked="0"/>
    </xf>
    <xf numFmtId="3" fontId="0" fillId="5" borderId="44" xfId="0" quotePrefix="1" applyNumberFormat="1" applyFont="1" applyFill="1" applyBorder="1" applyAlignment="1" applyProtection="1">
      <alignment horizontal="center" vertical="center"/>
      <protection locked="0"/>
    </xf>
    <xf numFmtId="3" fontId="0" fillId="0" borderId="44" xfId="0" quotePrefix="1" applyNumberFormat="1" applyFont="1" applyFill="1" applyBorder="1" applyAlignment="1" applyProtection="1">
      <alignment horizontal="center" vertical="center"/>
      <protection locked="0"/>
    </xf>
    <xf numFmtId="0" fontId="10" fillId="0" borderId="45" xfId="0" applyFont="1" applyBorder="1" applyAlignment="1" applyProtection="1">
      <alignment horizontal="center" vertical="center" wrapText="1"/>
      <protection locked="0"/>
    </xf>
    <xf numFmtId="0" fontId="0" fillId="0" borderId="42" xfId="0" quotePrefix="1" applyFont="1" applyFill="1" applyBorder="1" applyAlignment="1" applyProtection="1">
      <alignment horizontal="center" vertical="center"/>
      <protection locked="0"/>
    </xf>
    <xf numFmtId="3" fontId="0" fillId="0" borderId="43" xfId="0" quotePrefix="1" applyNumberFormat="1" applyFont="1" applyFill="1" applyBorder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14" fontId="0" fillId="0" borderId="18" xfId="0" applyNumberFormat="1" applyFont="1" applyFill="1" applyBorder="1" applyAlignment="1" applyProtection="1">
      <alignment horizontal="center" vertical="center"/>
      <protection locked="0"/>
    </xf>
    <xf numFmtId="0" fontId="10" fillId="0" borderId="8" xfId="0" applyFont="1" applyFill="1" applyBorder="1" applyAlignment="1" applyProtection="1">
      <alignment horizontal="center" vertical="center"/>
      <protection locked="0"/>
    </xf>
    <xf numFmtId="0" fontId="10" fillId="0" borderId="9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wrapText="1"/>
    </xf>
    <xf numFmtId="0" fontId="10" fillId="0" borderId="38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>
      <alignment horizontal="center" wrapText="1"/>
    </xf>
    <xf numFmtId="0" fontId="33" fillId="0" borderId="21" xfId="0" applyFont="1" applyBorder="1" applyAlignment="1" applyProtection="1">
      <alignment horizontal="center" vertical="center"/>
      <protection locked="0"/>
    </xf>
    <xf numFmtId="0" fontId="28" fillId="0" borderId="38" xfId="0" applyFont="1" applyFill="1" applyBorder="1" applyAlignment="1" applyProtection="1">
      <alignment horizontal="center" vertical="center"/>
      <protection locked="0"/>
    </xf>
    <xf numFmtId="0" fontId="28" fillId="0" borderId="21" xfId="0" applyFont="1" applyBorder="1" applyAlignment="1" applyProtection="1">
      <alignment horizontal="center" wrapText="1"/>
      <protection locked="0"/>
    </xf>
    <xf numFmtId="14" fontId="8" fillId="0" borderId="37" xfId="0" applyNumberFormat="1" applyFont="1" applyFill="1" applyBorder="1" applyAlignment="1" applyProtection="1">
      <alignment horizontal="center" vertical="center"/>
      <protection locked="0"/>
    </xf>
    <xf numFmtId="0" fontId="8" fillId="0" borderId="34" xfId="0" applyFont="1" applyFill="1" applyBorder="1" applyAlignment="1" applyProtection="1">
      <alignment horizontal="center" vertical="center"/>
      <protection locked="0"/>
    </xf>
    <xf numFmtId="0" fontId="8" fillId="0" borderId="34" xfId="0" quotePrefix="1" applyFont="1" applyFill="1" applyBorder="1" applyAlignment="1" applyProtection="1">
      <alignment horizontal="center" vertical="center"/>
      <protection locked="0"/>
    </xf>
    <xf numFmtId="0" fontId="8" fillId="0" borderId="20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 vertical="center"/>
      <protection locked="0"/>
    </xf>
    <xf numFmtId="0" fontId="8" fillId="0" borderId="10" xfId="0" applyFont="1" applyFill="1" applyBorder="1" applyAlignment="1">
      <alignment horizontal="center" vertical="center" wrapText="1"/>
    </xf>
    <xf numFmtId="0" fontId="10" fillId="0" borderId="37" xfId="0" applyFont="1" applyBorder="1" applyAlignment="1" applyProtection="1">
      <alignment horizontal="center" vertical="center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34" fillId="0" borderId="10" xfId="0" applyFont="1" applyFill="1" applyBorder="1" applyAlignment="1">
      <alignment horizontal="left" vertical="center" wrapText="1"/>
    </xf>
    <xf numFmtId="0" fontId="8" fillId="0" borderId="33" xfId="0" applyFont="1" applyFill="1" applyBorder="1" applyAlignment="1" applyProtection="1">
      <alignment horizontal="center" vertical="center"/>
      <protection locked="0"/>
    </xf>
    <xf numFmtId="3" fontId="8" fillId="0" borderId="10" xfId="0" applyNumberFormat="1" applyFont="1" applyFill="1" applyBorder="1" applyAlignment="1" applyProtection="1">
      <alignment horizontal="center" vertical="center"/>
      <protection locked="0"/>
    </xf>
    <xf numFmtId="0" fontId="34" fillId="0" borderId="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14" fontId="8" fillId="0" borderId="44" xfId="0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4" xfId="0" quotePrefix="1" applyFont="1" applyBorder="1" applyAlignment="1">
      <alignment horizontal="center" vertical="center"/>
    </xf>
    <xf numFmtId="0" fontId="8" fillId="0" borderId="3" xfId="0" applyFont="1" applyFill="1" applyBorder="1" applyAlignment="1" applyProtection="1">
      <alignment horizontal="center" vertical="center"/>
      <protection locked="0"/>
    </xf>
    <xf numFmtId="0" fontId="5" fillId="0" borderId="31" xfId="0" applyFont="1" applyFill="1" applyBorder="1" applyAlignment="1">
      <alignment horizontal="center"/>
    </xf>
    <xf numFmtId="0" fontId="6" fillId="0" borderId="2" xfId="0" applyFont="1" applyBorder="1" applyAlignment="1" applyProtection="1">
      <alignment horizontal="center" vertical="center"/>
    </xf>
    <xf numFmtId="0" fontId="6" fillId="0" borderId="49" xfId="0" applyFont="1" applyBorder="1" applyAlignment="1" applyProtection="1">
      <alignment horizontal="center" vertical="center"/>
    </xf>
    <xf numFmtId="0" fontId="34" fillId="0" borderId="10" xfId="0" applyFont="1" applyBorder="1" applyAlignment="1">
      <alignment horizontal="left" vertical="center" wrapText="1"/>
    </xf>
    <xf numFmtId="14" fontId="31" fillId="0" borderId="36" xfId="0" applyNumberFormat="1" applyFont="1" applyFill="1" applyBorder="1" applyAlignment="1" applyProtection="1">
      <alignment horizontal="center" vertical="center"/>
      <protection locked="0"/>
    </xf>
    <xf numFmtId="0" fontId="31" fillId="0" borderId="3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Fill="1" applyBorder="1" applyAlignment="1">
      <alignment horizontal="center"/>
    </xf>
    <xf numFmtId="0" fontId="8" fillId="0" borderId="45" xfId="0" applyFont="1" applyFill="1" applyBorder="1" applyAlignment="1">
      <alignment horizontal="center" wrapText="1"/>
    </xf>
    <xf numFmtId="0" fontId="8" fillId="0" borderId="18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46" xfId="1" applyFont="1" applyFill="1" applyBorder="1" applyAlignment="1" applyProtection="1">
      <alignment horizontal="center" vertical="center"/>
      <protection locked="0"/>
    </xf>
    <xf numFmtId="0" fontId="0" fillId="0" borderId="44" xfId="0" applyFont="1" applyBorder="1" applyAlignment="1" applyProtection="1">
      <alignment horizontal="center" vertical="center"/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20" xfId="1" applyFont="1" applyFill="1" applyBorder="1" applyAlignment="1" applyProtection="1">
      <alignment horizontal="center" vertical="center"/>
      <protection locked="0"/>
    </xf>
    <xf numFmtId="0" fontId="5" fillId="0" borderId="44" xfId="1" quotePrefix="1" applyFont="1" applyFill="1" applyBorder="1" applyAlignment="1">
      <alignment wrapText="1"/>
    </xf>
    <xf numFmtId="0" fontId="5" fillId="0" borderId="44" xfId="1" quotePrefix="1" applyFont="1" applyFill="1" applyBorder="1"/>
    <xf numFmtId="0" fontId="0" fillId="0" borderId="18" xfId="0" applyFont="1" applyBorder="1" applyAlignment="1" applyProtection="1">
      <alignment horizontal="center" vertical="center"/>
      <protection locked="0"/>
    </xf>
    <xf numFmtId="0" fontId="0" fillId="0" borderId="45" xfId="0" applyFont="1" applyBorder="1" applyAlignment="1" applyProtection="1">
      <alignment horizontal="center" vertical="center"/>
      <protection locked="0"/>
    </xf>
    <xf numFmtId="0" fontId="0" fillId="0" borderId="33" xfId="0" applyFont="1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>
      <alignment wrapText="1"/>
    </xf>
    <xf numFmtId="0" fontId="8" fillId="0" borderId="46" xfId="1" applyFont="1" applyBorder="1" applyAlignment="1" applyProtection="1">
      <alignment horizontal="center" vertical="center"/>
      <protection locked="0"/>
    </xf>
    <xf numFmtId="0" fontId="8" fillId="0" borderId="18" xfId="1" applyFont="1" applyBorder="1" applyAlignment="1" applyProtection="1">
      <alignment horizontal="center" vertical="center"/>
      <protection locked="0"/>
    </xf>
    <xf numFmtId="0" fontId="8" fillId="0" borderId="44" xfId="1" applyFont="1" applyBorder="1" applyAlignment="1" applyProtection="1">
      <alignment horizontal="center" vertical="center"/>
      <protection locked="0"/>
    </xf>
    <xf numFmtId="0" fontId="8" fillId="0" borderId="45" xfId="1" applyFont="1" applyBorder="1" applyAlignment="1" applyProtection="1">
      <alignment horizontal="center" vertical="center"/>
      <protection locked="0"/>
    </xf>
    <xf numFmtId="0" fontId="5" fillId="0" borderId="44" xfId="1" applyFont="1" applyBorder="1"/>
    <xf numFmtId="0" fontId="22" fillId="0" borderId="21" xfId="0" applyFont="1" applyBorder="1" applyAlignment="1">
      <alignment wrapText="1"/>
    </xf>
    <xf numFmtId="0" fontId="8" fillId="0" borderId="18" xfId="1" quotePrefix="1" applyFont="1" applyFill="1" applyBorder="1" applyAlignment="1" applyProtection="1">
      <alignment horizontal="center" vertical="center"/>
      <protection locked="0"/>
    </xf>
    <xf numFmtId="0" fontId="10" fillId="0" borderId="18" xfId="0" quotePrefix="1" applyFont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 wrapText="1"/>
      <protection locked="0"/>
    </xf>
    <xf numFmtId="0" fontId="28" fillId="0" borderId="46" xfId="0" applyFont="1" applyBorder="1" applyAlignment="1" applyProtection="1">
      <alignment horizontal="center" vertical="center"/>
      <protection locked="0"/>
    </xf>
    <xf numFmtId="0" fontId="26" fillId="0" borderId="1" xfId="0" applyFont="1" applyBorder="1"/>
    <xf numFmtId="0" fontId="28" fillId="0" borderId="18" xfId="0" applyFont="1" applyBorder="1" applyAlignment="1" applyProtection="1">
      <alignment horizontal="center" vertical="center"/>
      <protection locked="0"/>
    </xf>
    <xf numFmtId="0" fontId="19" fillId="0" borderId="21" xfId="0" applyFont="1" applyFill="1" applyBorder="1" applyAlignment="1" applyProtection="1">
      <alignment horizontal="center" vertical="center"/>
      <protection locked="0"/>
    </xf>
    <xf numFmtId="0" fontId="26" fillId="0" borderId="1" xfId="0" applyFont="1" applyBorder="1" applyAlignment="1">
      <alignment wrapText="1"/>
    </xf>
    <xf numFmtId="0" fontId="5" fillId="0" borderId="0" xfId="0" applyFont="1" applyAlignment="1">
      <alignment horizontal="left"/>
    </xf>
    <xf numFmtId="0" fontId="8" fillId="0" borderId="21" xfId="0" applyFont="1" applyFill="1" applyBorder="1" applyAlignment="1">
      <alignment horizontal="center" wrapText="1"/>
    </xf>
    <xf numFmtId="0" fontId="8" fillId="0" borderId="30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5" fillId="0" borderId="10" xfId="1" applyFont="1" applyFill="1" applyBorder="1"/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6" xfId="1" applyFont="1" applyFill="1" applyBorder="1" applyAlignment="1" applyProtection="1">
      <alignment horizontal="center" vertical="center"/>
      <protection locked="0"/>
    </xf>
    <xf numFmtId="0" fontId="8" fillId="0" borderId="18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5" fillId="0" borderId="44" xfId="1" applyFont="1" applyFill="1" applyBorder="1"/>
    <xf numFmtId="0" fontId="8" fillId="0" borderId="24" xfId="0" applyFont="1" applyFill="1" applyBorder="1" applyAlignment="1" applyProtection="1">
      <alignment horizontal="center" vertical="center"/>
      <protection locked="0"/>
    </xf>
    <xf numFmtId="0" fontId="25" fillId="0" borderId="33" xfId="0" applyFont="1" applyFill="1" applyBorder="1" applyAlignment="1" applyProtection="1">
      <alignment horizontal="center" vertical="center"/>
      <protection locked="0"/>
    </xf>
    <xf numFmtId="0" fontId="25" fillId="0" borderId="10" xfId="0" applyFont="1" applyFill="1" applyBorder="1" applyAlignment="1" applyProtection="1">
      <alignment horizontal="center" vertical="center"/>
      <protection locked="0"/>
    </xf>
    <xf numFmtId="0" fontId="8" fillId="0" borderId="45" xfId="0" applyFont="1" applyFill="1" applyBorder="1" applyAlignment="1" applyProtection="1">
      <alignment horizontal="center" vertical="center" wrapText="1"/>
      <protection locked="0"/>
    </xf>
    <xf numFmtId="0" fontId="8" fillId="0" borderId="45" xfId="0" applyFont="1" applyBorder="1" applyAlignment="1" applyProtection="1">
      <alignment horizontal="center" vertical="center" wrapText="1"/>
      <protection locked="0"/>
    </xf>
    <xf numFmtId="3" fontId="8" fillId="0" borderId="44" xfId="0" applyNumberFormat="1" applyFont="1" applyFill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wrapText="1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3" fontId="0" fillId="0" borderId="1" xfId="0" quotePrefix="1" applyNumberFormat="1" applyFont="1" applyFill="1" applyBorder="1" applyAlignment="1" applyProtection="1">
      <alignment horizontal="center" vertical="center"/>
      <protection locked="0"/>
    </xf>
    <xf numFmtId="14" fontId="8" fillId="0" borderId="21" xfId="0" applyNumberFormat="1" applyFont="1" applyFill="1" applyBorder="1" applyAlignment="1" applyProtection="1">
      <alignment horizontal="center" vertical="center"/>
      <protection locked="0"/>
    </xf>
    <xf numFmtId="14" fontId="8" fillId="0" borderId="44" xfId="0" applyNumberFormat="1" applyFont="1" applyFill="1" applyBorder="1" applyAlignment="1">
      <alignment horizontal="center" vertical="center"/>
    </xf>
    <xf numFmtId="0" fontId="8" fillId="0" borderId="44" xfId="0" applyFont="1" applyFill="1" applyBorder="1" applyAlignment="1">
      <alignment horizontal="center" vertical="center"/>
    </xf>
    <xf numFmtId="0" fontId="28" fillId="0" borderId="45" xfId="0" applyFont="1" applyFill="1" applyBorder="1" applyAlignment="1">
      <alignment horizontal="center" vertical="center" wrapText="1"/>
    </xf>
    <xf numFmtId="0" fontId="8" fillId="0" borderId="18" xfId="0" quotePrefix="1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 wrapText="1"/>
    </xf>
    <xf numFmtId="0" fontId="11" fillId="0" borderId="21" xfId="0" applyFont="1" applyFill="1" applyBorder="1" applyAlignment="1" applyProtection="1">
      <alignment horizontal="center" vertical="center" wrapText="1"/>
      <protection locked="0"/>
    </xf>
    <xf numFmtId="0" fontId="10" fillId="0" borderId="21" xfId="0" applyFont="1" applyFill="1" applyBorder="1" applyAlignment="1" applyProtection="1">
      <alignment horizontal="center" vertical="center" wrapText="1"/>
      <protection locked="0"/>
    </xf>
    <xf numFmtId="0" fontId="19" fillId="0" borderId="21" xfId="0" applyFont="1" applyFill="1" applyBorder="1" applyAlignment="1" applyProtection="1">
      <alignment horizontal="center" vertical="center" wrapText="1"/>
      <protection locked="0"/>
    </xf>
    <xf numFmtId="0" fontId="5" fillId="0" borderId="44" xfId="0" applyFont="1" applyBorder="1" applyAlignment="1">
      <alignment wrapText="1"/>
    </xf>
    <xf numFmtId="0" fontId="5" fillId="0" borderId="10" xfId="0" applyFont="1" applyFill="1" applyBorder="1" applyAlignment="1">
      <alignment wrapText="1"/>
    </xf>
    <xf numFmtId="0" fontId="33" fillId="0" borderId="45" xfId="0" applyFont="1" applyFill="1" applyBorder="1" applyAlignment="1" applyProtection="1">
      <alignment horizontal="center" vertical="center" wrapText="1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34" xfId="0" quotePrefix="1" applyFont="1" applyBorder="1" applyAlignment="1" applyProtection="1">
      <alignment horizontal="center" vertical="center"/>
      <protection locked="0"/>
    </xf>
    <xf numFmtId="0" fontId="8" fillId="0" borderId="35" xfId="0" applyFont="1" applyBorder="1" applyAlignment="1" applyProtection="1">
      <alignment horizontal="center"/>
      <protection locked="0"/>
    </xf>
    <xf numFmtId="14" fontId="31" fillId="0" borderId="18" xfId="0" applyNumberFormat="1" applyFont="1" applyFill="1" applyBorder="1" applyAlignment="1" applyProtection="1">
      <alignment horizontal="center" vertical="center"/>
      <protection locked="0"/>
    </xf>
    <xf numFmtId="3" fontId="22" fillId="0" borderId="44" xfId="0" applyNumberFormat="1" applyFont="1" applyFill="1" applyBorder="1" applyAlignment="1" applyProtection="1">
      <alignment horizontal="center" vertical="center"/>
      <protection locked="0"/>
    </xf>
    <xf numFmtId="14" fontId="31" fillId="0" borderId="42" xfId="0" applyNumberFormat="1" applyFont="1" applyFill="1" applyBorder="1" applyAlignment="1" applyProtection="1">
      <alignment horizontal="center" vertical="center"/>
      <protection locked="0"/>
    </xf>
    <xf numFmtId="0" fontId="31" fillId="0" borderId="43" xfId="0" applyFont="1" applyFill="1" applyBorder="1" applyAlignment="1" applyProtection="1">
      <alignment horizontal="center" vertical="center"/>
      <protection locked="0"/>
    </xf>
    <xf numFmtId="0" fontId="31" fillId="0" borderId="38" xfId="0" applyFont="1" applyFill="1" applyBorder="1" applyAlignment="1">
      <alignment horizontal="center"/>
    </xf>
    <xf numFmtId="14" fontId="22" fillId="0" borderId="53" xfId="0" applyNumberFormat="1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>
      <alignment horizontal="center"/>
    </xf>
    <xf numFmtId="0" fontId="26" fillId="0" borderId="51" xfId="0" applyFont="1" applyFill="1" applyBorder="1" applyAlignment="1">
      <alignment wrapText="1"/>
    </xf>
    <xf numFmtId="0" fontId="5" fillId="0" borderId="34" xfId="0" applyFont="1" applyBorder="1" applyAlignment="1">
      <alignment horizontal="left"/>
    </xf>
    <xf numFmtId="0" fontId="8" fillId="0" borderId="55" xfId="0" applyFont="1" applyFill="1" applyBorder="1" applyAlignment="1" applyProtection="1">
      <alignment horizontal="center" vertical="center"/>
      <protection locked="0"/>
    </xf>
    <xf numFmtId="0" fontId="22" fillId="0" borderId="56" xfId="0" applyFont="1" applyFill="1" applyBorder="1" applyAlignment="1" applyProtection="1">
      <alignment horizontal="center" vertical="center"/>
      <protection locked="0"/>
    </xf>
    <xf numFmtId="0" fontId="6" fillId="0" borderId="50" xfId="0" applyFont="1" applyBorder="1" applyAlignment="1" applyProtection="1">
      <alignment horizontal="center" vertical="center" wrapText="1"/>
    </xf>
    <xf numFmtId="0" fontId="10" fillId="0" borderId="46" xfId="0" quotePrefix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 wrapText="1"/>
    </xf>
    <xf numFmtId="0" fontId="10" fillId="0" borderId="46" xfId="0" quotePrefix="1" applyFont="1" applyFill="1" applyBorder="1" applyAlignment="1" applyProtection="1">
      <alignment horizontal="center" vertical="center"/>
      <protection locked="0"/>
    </xf>
    <xf numFmtId="0" fontId="8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6" xfId="1" quotePrefix="1" applyFont="1" applyFill="1" applyBorder="1" applyAlignment="1" applyProtection="1">
      <alignment horizontal="center" vertical="center"/>
      <protection locked="0"/>
    </xf>
    <xf numFmtId="0" fontId="20" fillId="0" borderId="52" xfId="0" applyFont="1" applyFill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54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 wrapText="1"/>
    </xf>
    <xf numFmtId="0" fontId="16" fillId="0" borderId="21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left"/>
    </xf>
    <xf numFmtId="0" fontId="22" fillId="0" borderId="10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1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left" vertical="top" wrapText="1"/>
    </xf>
    <xf numFmtId="0" fontId="22" fillId="0" borderId="45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vertical="center" wrapText="1"/>
    </xf>
    <xf numFmtId="0" fontId="19" fillId="0" borderId="45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33" fillId="0" borderId="45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/>
    </xf>
    <xf numFmtId="0" fontId="22" fillId="0" borderId="34" xfId="0" applyFont="1" applyBorder="1" applyAlignment="1">
      <alignment horizontal="center" vertical="center"/>
    </xf>
    <xf numFmtId="0" fontId="22" fillId="0" borderId="29" xfId="0" applyFont="1" applyFill="1" applyBorder="1" applyAlignment="1">
      <alignment horizontal="center" wrapText="1"/>
    </xf>
    <xf numFmtId="0" fontId="16" fillId="0" borderId="45" xfId="0" applyFont="1" applyFill="1" applyBorder="1" applyAlignment="1">
      <alignment horizontal="center" vertical="center" wrapText="1"/>
    </xf>
    <xf numFmtId="0" fontId="31" fillId="0" borderId="45" xfId="0" applyFont="1" applyFill="1" applyBorder="1" applyAlignment="1" applyProtection="1">
      <alignment horizontal="center" wrapText="1"/>
      <protection locked="0"/>
    </xf>
    <xf numFmtId="0" fontId="8" fillId="0" borderId="45" xfId="0" applyFont="1" applyFill="1" applyBorder="1" applyAlignment="1" applyProtection="1">
      <alignment horizontal="center" wrapText="1"/>
      <protection locked="0"/>
    </xf>
    <xf numFmtId="0" fontId="22" fillId="0" borderId="23" xfId="0" applyFont="1" applyFill="1" applyBorder="1" applyAlignment="1" applyProtection="1">
      <alignment horizontal="center" vertical="center" wrapText="1"/>
      <protection locked="0"/>
    </xf>
    <xf numFmtId="0" fontId="20" fillId="0" borderId="1" xfId="0" quotePrefix="1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quotePrefix="1" applyFont="1" applyBorder="1" applyAlignment="1" applyProtection="1">
      <alignment horizontal="center" vertical="center"/>
      <protection locked="0"/>
    </xf>
    <xf numFmtId="0" fontId="5" fillId="0" borderId="44" xfId="0" applyFont="1" applyBorder="1" applyAlignment="1">
      <alignment horizontal="left" wrapText="1"/>
    </xf>
    <xf numFmtId="0" fontId="5" fillId="0" borderId="4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22" fillId="0" borderId="46" xfId="0" quotePrefix="1" applyFont="1" applyFill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left"/>
    </xf>
    <xf numFmtId="0" fontId="5" fillId="0" borderId="18" xfId="0" quotePrefix="1" applyFont="1" applyBorder="1" applyAlignment="1">
      <alignment horizontal="center"/>
    </xf>
    <xf numFmtId="0" fontId="8" fillId="5" borderId="55" xfId="0" applyFont="1" applyFill="1" applyBorder="1" applyAlignment="1" applyProtection="1">
      <alignment horizontal="center" vertical="center"/>
      <protection locked="0"/>
    </xf>
    <xf numFmtId="0" fontId="20" fillId="0" borderId="46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2" fillId="0" borderId="14" xfId="0" applyFont="1" applyFill="1" applyBorder="1" applyAlignment="1" applyProtection="1">
      <alignment horizontal="center" vertical="center"/>
      <protection locked="0"/>
    </xf>
    <xf numFmtId="0" fontId="22" fillId="0" borderId="43" xfId="0" applyFont="1" applyFill="1" applyBorder="1" applyAlignment="1" applyProtection="1">
      <alignment horizontal="center" vertical="center"/>
      <protection locked="0"/>
    </xf>
    <xf numFmtId="0" fontId="20" fillId="0" borderId="44" xfId="0" applyFont="1" applyFill="1" applyBorder="1" applyAlignment="1">
      <alignment horizontal="center"/>
    </xf>
    <xf numFmtId="0" fontId="10" fillId="0" borderId="55" xfId="0" applyFont="1" applyFill="1" applyBorder="1" applyAlignment="1" applyProtection="1">
      <alignment horizontal="center" vertical="center"/>
      <protection locked="0"/>
    </xf>
    <xf numFmtId="0" fontId="22" fillId="0" borderId="5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wrapText="1"/>
    </xf>
    <xf numFmtId="0" fontId="5" fillId="0" borderId="44" xfId="0" applyFont="1" applyFill="1" applyBorder="1" applyAlignment="1">
      <alignment wrapText="1"/>
    </xf>
    <xf numFmtId="0" fontId="5" fillId="0" borderId="18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4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0" fillId="5" borderId="44" xfId="0" applyFont="1" applyFill="1" applyBorder="1" applyAlignment="1" applyProtection="1">
      <alignment horizontal="center" vertical="center" wrapText="1"/>
      <protection locked="0"/>
    </xf>
    <xf numFmtId="0" fontId="5" fillId="5" borderId="44" xfId="0" applyFont="1" applyFill="1" applyBorder="1" applyAlignment="1">
      <alignment horizontal="left" wrapText="1"/>
    </xf>
    <xf numFmtId="0" fontId="10" fillId="0" borderId="45" xfId="1" applyFont="1" applyFill="1" applyBorder="1" applyAlignment="1" applyProtection="1">
      <alignment horizontal="center" vertical="center"/>
      <protection locked="0"/>
    </xf>
    <xf numFmtId="0" fontId="10" fillId="0" borderId="18" xfId="1" applyFont="1" applyFill="1" applyBorder="1" applyAlignment="1" applyProtection="1">
      <alignment horizontal="center" vertical="center"/>
      <protection locked="0"/>
    </xf>
    <xf numFmtId="0" fontId="10" fillId="0" borderId="46" xfId="1" applyFont="1" applyFill="1" applyBorder="1" applyAlignment="1" applyProtection="1">
      <alignment horizontal="center" vertical="center"/>
      <protection locked="0"/>
    </xf>
    <xf numFmtId="0" fontId="10" fillId="0" borderId="44" xfId="1" applyFont="1" applyFill="1" applyBorder="1" applyAlignment="1" applyProtection="1">
      <alignment horizontal="center" vertical="center"/>
      <protection locked="0"/>
    </xf>
    <xf numFmtId="0" fontId="5" fillId="0" borderId="44" xfId="1" applyFont="1" applyFill="1" applyBorder="1" applyAlignment="1">
      <alignment horizontal="left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2" xfId="0" applyFont="1" applyFill="1" applyBorder="1" applyAlignment="1" applyProtection="1">
      <alignment horizontal="center"/>
    </xf>
    <xf numFmtId="0" fontId="5" fillId="2" borderId="11" xfId="0" applyFont="1" applyFill="1" applyBorder="1" applyAlignment="1" applyProtection="1">
      <alignment horizontal="center"/>
    </xf>
    <xf numFmtId="0" fontId="5" fillId="2" borderId="13" xfId="0" applyFont="1" applyFill="1" applyBorder="1" applyAlignment="1" applyProtection="1">
      <alignment horizontal="center"/>
    </xf>
  </cellXfs>
  <cellStyles count="8">
    <cellStyle name="Standard" xfId="0" builtinId="0"/>
    <cellStyle name="Standard 2" xfId="1"/>
    <cellStyle name="Standard 3" xfId="2"/>
    <cellStyle name="Standard 3 2" xfId="5"/>
    <cellStyle name="Standard 4" xfId="3"/>
    <cellStyle name="Standard 4 2" xfId="6"/>
    <cellStyle name="Standard 5" xfId="4"/>
    <cellStyle name="Standard 5 2" xfId="7"/>
  </cellStyles>
  <dxfs count="45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497D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strike val="0"/>
        <outline val="0"/>
        <shadow val="0"/>
        <vertAlign val="baseline"/>
        <color theme="3"/>
      </font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color theme="3"/>
      </font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rgb="FF1F497D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strike val="0"/>
        <outline val="0"/>
        <shadow val="0"/>
        <vertAlign val="baseline"/>
        <color theme="3"/>
      </font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auto="1"/>
        </top>
        <bottom style="medium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theme="3"/>
      </font>
      <border diagonalUp="0" diagonalDown="0" outline="0"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color theme="3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elle42" displayName="Tabelle42" ref="A4:AK19" totalsRowShown="0" headerRowDxfId="451" dataDxfId="449" headerRowBorderDxfId="450" tableBorderDxfId="448">
  <autoFilter ref="A4:AK19"/>
  <tableColumns count="37">
    <tableColumn id="1" name="Nr." dataDxfId="447"/>
    <tableColumn id="2" name="Name" dataDxfId="446"/>
    <tableColumn id="3" name="CWID" dataDxfId="445"/>
    <tableColumn id="4" name="Abteilung" dataDxfId="444"/>
    <tableColumn id="5" name="Termin" dataDxfId="443"/>
    <tableColumn id="6" name="Geb." dataDxfId="442"/>
    <tableColumn id="7" name="Raum_x000a_(von)" dataDxfId="441"/>
    <tableColumn id="8" name="Bemerkung" dataDxfId="440"/>
    <tableColumn id="9" name="Geb. " dataDxfId="439"/>
    <tableColumn id="10" name="Raum_x000a_(nach)" dataDxfId="438"/>
    <tableColumn id="11" name="Bemerkung2" dataDxfId="437"/>
    <tableColumn id="12" name="Umzugs-_x000a_kartons" dataDxfId="436"/>
    <tableColumn id="37" name="Tür-Schild" dataDxfId="435"/>
    <tableColumn id="13" name="Austausch_x000a_Schlüssel" dataDxfId="434"/>
    <tableColumn id="14" name="Telefon-_x000a_Service" dataDxfId="433"/>
    <tableColumn id="15" name="Monitor auf Fuß" dataDxfId="432"/>
    <tableColumn id="16" name="Monitor aufgehängt" dataDxfId="431"/>
    <tableColumn id="17" name="Dockingstation + Tastatur + Mouse" dataDxfId="430"/>
    <tableColumn id="18" name="Telefon" dataDxfId="429"/>
    <tableColumn id="19" name="Schreibtisch mit Rückwand" dataDxfId="428"/>
    <tableColumn id="20" name="Monitoraufhängung" dataDxfId="427"/>
    <tableColumn id="21" name="Schreibtisch ohne Rückwand" dataDxfId="426"/>
    <tableColumn id="22" name="Bürodrehstuhl" dataDxfId="425"/>
    <tableColumn id="23" name="Garderobenschrank" dataDxfId="424"/>
    <tableColumn id="24" name="Garderobe" dataDxfId="423"/>
    <tableColumn id="25" name="Theke 3OH" dataDxfId="422"/>
    <tableColumn id="26" name="Theke 2 OH" dataDxfId="421"/>
    <tableColumn id="27" name="Rollcontainer" dataDxfId="420"/>
    <tableColumn id="28" name="Rollcontainer m. Hängeregistratur" dataDxfId="419"/>
    <tableColumn id="29" name="Besprechungsstühle" dataDxfId="418"/>
    <tableColumn id="30" name="Besprechungstisch 80 x 80" dataDxfId="417"/>
    <tableColumn id="31" name="Besprechungstisch 80 * 160" dataDxfId="416"/>
    <tableColumn id="32" name="Tisch 80 x 80 höhenverstellbar" dataDxfId="415"/>
    <tableColumn id="33" name="Stehlampen" dataDxfId="414"/>
    <tableColumn id="34" name="Wandmonitor" dataDxfId="413"/>
    <tableColumn id="35" name="Whiteboard" dataDxfId="412"/>
    <tableColumn id="36" name="Sonstiges /_x000a_Bemerkungen" dataDxfId="41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Tabelle423" displayName="Tabelle423" ref="A4:AK18" totalsRowShown="0" headerRowDxfId="407" dataDxfId="405" headerRowBorderDxfId="406" tableBorderDxfId="404">
  <autoFilter ref="A4:AK18"/>
  <tableColumns count="37">
    <tableColumn id="1" name="Nr." dataDxfId="403"/>
    <tableColumn id="2" name="Name" dataDxfId="402"/>
    <tableColumn id="3" name="CWID" dataDxfId="401"/>
    <tableColumn id="4" name="Abteilung" dataDxfId="400"/>
    <tableColumn id="5" name="Termin" dataDxfId="399"/>
    <tableColumn id="6" name="Geb." dataDxfId="398"/>
    <tableColumn id="7" name="Raum_x000a_(von)" dataDxfId="397"/>
    <tableColumn id="8" name="Bemerkung" dataDxfId="396"/>
    <tableColumn id="9" name="Geb. " dataDxfId="395"/>
    <tableColumn id="10" name="Raum_x000a_(nach)" dataDxfId="394"/>
    <tableColumn id="11" name="Bemerkung2" dataDxfId="393"/>
    <tableColumn id="12" name="Umzugs-_x000a_kartons" dataDxfId="392"/>
    <tableColumn id="37" name="Tür-Schild" dataDxfId="391"/>
    <tableColumn id="13" name="Austausch_x000a_Schlüssel" dataDxfId="390"/>
    <tableColumn id="14" name="Telefon-_x000a_Service" dataDxfId="389"/>
    <tableColumn id="15" name="Monitor auf Fuß" dataDxfId="388"/>
    <tableColumn id="16" name="Monitor aufgehängt" dataDxfId="387"/>
    <tableColumn id="17" name="Dockingstation + Tastatur + Mouse" dataDxfId="386"/>
    <tableColumn id="18" name="Telefon" dataDxfId="385"/>
    <tableColumn id="19" name="Schreibtisch mit Rückwand" dataDxfId="384"/>
    <tableColumn id="20" name="Monitoraufhängung" dataDxfId="383"/>
    <tableColumn id="21" name="Schreibtisch ohne Rückwand" dataDxfId="382"/>
    <tableColumn id="22" name="Bürodrehstuhl" dataDxfId="381"/>
    <tableColumn id="23" name="Garderobenschrank" dataDxfId="380"/>
    <tableColumn id="24" name="Garderobe" dataDxfId="379"/>
    <tableColumn id="25" name="Theke 3OH" dataDxfId="378"/>
    <tableColumn id="26" name="Theke 2 OH" dataDxfId="377"/>
    <tableColumn id="27" name="Rollcontainer" dataDxfId="376"/>
    <tableColumn id="28" name="Rollcontainer m. Hängeregistratur" dataDxfId="375"/>
    <tableColumn id="29" name="Besprechungsstühle" dataDxfId="374"/>
    <tableColumn id="30" name="Besprechungstisch 80 x 80" dataDxfId="373"/>
    <tableColumn id="31" name="Besprechungstisch 80 * 160" dataDxfId="372"/>
    <tableColumn id="32" name="Tisch 80 x 80 höhenverstellbar" dataDxfId="371"/>
    <tableColumn id="33" name="Stehlampen" dataDxfId="370"/>
    <tableColumn id="34" name="Wandmonitor" dataDxfId="369"/>
    <tableColumn id="35" name="Whiteboard" dataDxfId="368"/>
    <tableColumn id="36" name="Sonstiges /_x000a_Bemerkungen" dataDxfId="36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6" name="Tabelle423467" displayName="Tabelle423467" ref="A4:AJ11" totalsRowShown="0" headerRowDxfId="363" dataDxfId="361" headerRowBorderDxfId="362" tableBorderDxfId="360">
  <autoFilter ref="A4:AJ11"/>
  <tableColumns count="36">
    <tableColumn id="1" name="Nr." dataDxfId="359"/>
    <tableColumn id="2" name="Name" dataDxfId="358"/>
    <tableColumn id="3" name="CWID" dataDxfId="357"/>
    <tableColumn id="4" name="Abteilung" dataDxfId="356"/>
    <tableColumn id="5" name="Termin" dataDxfId="355"/>
    <tableColumn id="6" name="Geb." dataDxfId="354"/>
    <tableColumn id="7" name="Raum_x000a_(von)" dataDxfId="353"/>
    <tableColumn id="8" name="Bemerkung" dataDxfId="352"/>
    <tableColumn id="9" name="Geb. " dataDxfId="351"/>
    <tableColumn id="10" name="Raum_x000a_(nach)" dataDxfId="350"/>
    <tableColumn id="11" name="Bemerkung2" dataDxfId="349"/>
    <tableColumn id="12" name="Umzugs-_x000a_kartons" dataDxfId="348"/>
    <tableColumn id="13" name="Austausch_x000a_Schlüssel" dataDxfId="347"/>
    <tableColumn id="14" name="Telefon-_x000a_Service" dataDxfId="346"/>
    <tableColumn id="15" name="Monitor auf Fuß" dataDxfId="345"/>
    <tableColumn id="16" name="Monitor aufgehängt" dataDxfId="344"/>
    <tableColumn id="17" name="Dockingstation + Tastatur + Mouse" dataDxfId="343"/>
    <tableColumn id="18" name="Telefon" dataDxfId="342"/>
    <tableColumn id="19" name="Schreibtisch mit Rückwand" dataDxfId="341"/>
    <tableColumn id="20" name="Monitoraufhängung" dataDxfId="340"/>
    <tableColumn id="21" name="Schreibtisch ohne Rückwand" dataDxfId="339"/>
    <tableColumn id="22" name="Bürodrehstuhl" dataDxfId="338"/>
    <tableColumn id="23" name="Garderobenschrank" dataDxfId="337"/>
    <tableColumn id="24" name="Garderobe" dataDxfId="336"/>
    <tableColumn id="25" name="Theke 3OH" dataDxfId="335"/>
    <tableColumn id="26" name="Theke 2 OH" dataDxfId="334"/>
    <tableColumn id="27" name="Rollcontainer" dataDxfId="333"/>
    <tableColumn id="28" name="Rollcontainer m. Hängeregistratur" dataDxfId="332"/>
    <tableColumn id="29" name="Besprechungsstühle" dataDxfId="331"/>
    <tableColumn id="30" name="Besprechungstisch 80 x 80" dataDxfId="330"/>
    <tableColumn id="31" name="Besprechungstisch 80 * 160" dataDxfId="329"/>
    <tableColumn id="32" name="Tisch 80 x 80 höhenverstellbar" dataDxfId="328"/>
    <tableColumn id="33" name="Stehlampen" dataDxfId="327"/>
    <tableColumn id="34" name="Wandmonitor" dataDxfId="326"/>
    <tableColumn id="35" name="Whiteboard" dataDxfId="325"/>
    <tableColumn id="36" name="Sonstiges /_x000a_Bemerkungen" dataDxfId="324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3" name="Tabelle4234" displayName="Tabelle4234" ref="A4:AK26" totalsRowShown="0" headerRowDxfId="311" dataDxfId="309" headerRowBorderDxfId="310" tableBorderDxfId="308">
  <autoFilter ref="A4:AK26"/>
  <tableColumns count="37">
    <tableColumn id="1" name="Nr." dataDxfId="307"/>
    <tableColumn id="2" name="Name" dataDxfId="306"/>
    <tableColumn id="3" name="CWID" dataDxfId="305"/>
    <tableColumn id="4" name="Abteilung" dataDxfId="304"/>
    <tableColumn id="5" name="Termin" dataDxfId="303"/>
    <tableColumn id="6" name="Geb." dataDxfId="302"/>
    <tableColumn id="7" name="Raum_x000a_(von)" dataDxfId="301"/>
    <tableColumn id="8" name="Bemerkung" dataDxfId="300"/>
    <tableColumn id="9" name="Geb. " dataDxfId="299"/>
    <tableColumn id="10" name="Raum_x000a_(nach)" dataDxfId="298"/>
    <tableColumn id="11" name="Bemerkung2" dataDxfId="297"/>
    <tableColumn id="12" name="Umzugs-_x000a_kartons" dataDxfId="296"/>
    <tableColumn id="37" name="Tür-schild"/>
    <tableColumn id="13" name="Austausch_x000a_Schlüssel" dataDxfId="295"/>
    <tableColumn id="14" name="Telefon-_x000a_Service" dataDxfId="294"/>
    <tableColumn id="15" name="Monitor auf Fuß" dataDxfId="293"/>
    <tableColumn id="16" name="Monitor aufgehängt" dataDxfId="292"/>
    <tableColumn id="17" name="Dockingstation + Tastatur + Mouse" dataDxfId="291"/>
    <tableColumn id="18" name="Telefon" dataDxfId="290"/>
    <tableColumn id="19" name="Schreibtisch mit Rückwand" dataDxfId="289"/>
    <tableColumn id="20" name="Monitoraufhängung" dataDxfId="288"/>
    <tableColumn id="21" name="Schreibtisch ohne Rückwand" dataDxfId="287"/>
    <tableColumn id="22" name="Bürodrehstuhl" dataDxfId="286"/>
    <tableColumn id="23" name="Garderobenschrank" dataDxfId="285"/>
    <tableColumn id="24" name="Garderobe" dataDxfId="284"/>
    <tableColumn id="25" name="Theke 3OH" dataDxfId="283"/>
    <tableColumn id="26" name="Theke 2 OH" dataDxfId="282"/>
    <tableColumn id="27" name="Rollcontainer" dataDxfId="281"/>
    <tableColumn id="28" name="Rollcontainer m. Hängeregistratur" dataDxfId="280"/>
    <tableColumn id="29" name="Besprechungsstühle" dataDxfId="279"/>
    <tableColumn id="30" name="Besprechungstisch 80 x 80" dataDxfId="278"/>
    <tableColumn id="31" name="Besprechungstisch 80 * 160" dataDxfId="277"/>
    <tableColumn id="32" name="Tisch 80 x 80 höhenverstellbar" dataDxfId="276"/>
    <tableColumn id="33" name="Stehlampen" dataDxfId="275"/>
    <tableColumn id="34" name="Wandmonitor" dataDxfId="274"/>
    <tableColumn id="35" name="Whiteboard" dataDxfId="273"/>
    <tableColumn id="36" name="Sonstiges /_x000a_Bemerkungen" dataDxfId="27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abelle42346" displayName="Tabelle42346" ref="A4:AK16" totalsRowShown="0" headerRowDxfId="271" dataDxfId="269" headerRowBorderDxfId="270" tableBorderDxfId="268">
  <autoFilter ref="A4:AK16"/>
  <tableColumns count="37">
    <tableColumn id="1" name="Nr." dataDxfId="267"/>
    <tableColumn id="2" name="Name" dataDxfId="266"/>
    <tableColumn id="3" name="CWID" dataDxfId="265"/>
    <tableColumn id="4" name="Abteilung" dataDxfId="264"/>
    <tableColumn id="5" name="Termin" dataDxfId="263"/>
    <tableColumn id="6" name="Geb." dataDxfId="262"/>
    <tableColumn id="7" name="Raum_x000a_(von)" dataDxfId="261"/>
    <tableColumn id="8" name="Bemerkung" dataDxfId="260"/>
    <tableColumn id="9" name="Geb. " dataDxfId="259"/>
    <tableColumn id="10" name="Raum_x000a_(nach)" dataDxfId="258"/>
    <tableColumn id="11" name="Bemerkung2" dataDxfId="257"/>
    <tableColumn id="12" name="Umzugs-_x000a_kartons" dataDxfId="256"/>
    <tableColumn id="37" name="Tür-schild"/>
    <tableColumn id="13" name="Austausch_x000a_Schlüssel" dataDxfId="255"/>
    <tableColumn id="14" name="Telefon-_x000a_Service" dataDxfId="254"/>
    <tableColumn id="15" name="Monitor auf Fuß" dataDxfId="253"/>
    <tableColumn id="16" name="Monitor aufgehängt" dataDxfId="252"/>
    <tableColumn id="17" name="Dockingstation + Tastatur + Mouse" dataDxfId="251"/>
    <tableColumn id="18" name="Telefon" dataDxfId="250"/>
    <tableColumn id="19" name="Schreibtisch mit Rückwand" dataDxfId="249"/>
    <tableColumn id="20" name="Monitoraufhängung" dataDxfId="248"/>
    <tableColumn id="21" name="Schreibtisch ohne Rückwand" dataDxfId="247"/>
    <tableColumn id="22" name="Bürodrehstuhl" dataDxfId="246"/>
    <tableColumn id="23" name="Garderobenschrank" dataDxfId="245"/>
    <tableColumn id="24" name="Garderobe" dataDxfId="244"/>
    <tableColumn id="25" name="Theke 3OH" dataDxfId="243"/>
    <tableColumn id="26" name="Theke 2 OH" dataDxfId="242"/>
    <tableColumn id="27" name="Rollcontainer" dataDxfId="241"/>
    <tableColumn id="28" name="Rollcontainer m. Hängeregistratur" dataDxfId="240"/>
    <tableColumn id="29" name="Besprechungsstühle" dataDxfId="239"/>
    <tableColumn id="30" name="Besprechungstisch 80 x 80" dataDxfId="238"/>
    <tableColumn id="31" name="Besprechungstisch 80 * 160" dataDxfId="237"/>
    <tableColumn id="32" name="Tisch 80 x 80 höhenverstellbar" dataDxfId="236"/>
    <tableColumn id="33" name="Stehlampen" dataDxfId="235"/>
    <tableColumn id="34" name="Wandmonitor" dataDxfId="234"/>
    <tableColumn id="35" name="Whiteboard" dataDxfId="233"/>
    <tableColumn id="36" name="Sonstiges /_x000a_Bemerkungen" dataDxfId="23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10" name="Tabelle42346711" displayName="Tabelle42346711" ref="A4:AJ11" totalsRowShown="0" headerRowDxfId="228" dataDxfId="226" headerRowBorderDxfId="227" tableBorderDxfId="225">
  <autoFilter ref="A4:AJ11"/>
  <tableColumns count="36">
    <tableColumn id="1" name="Nr." dataDxfId="224"/>
    <tableColumn id="2" name="Name" dataDxfId="223"/>
    <tableColumn id="3" name="CWID" dataDxfId="222"/>
    <tableColumn id="4" name="Abteilung" dataDxfId="221"/>
    <tableColumn id="5" name="Termin" dataDxfId="220"/>
    <tableColumn id="6" name="Geb." dataDxfId="219"/>
    <tableColumn id="7" name="Raum_x000a_(von)" dataDxfId="218"/>
    <tableColumn id="8" name="Bemerkung" dataDxfId="217"/>
    <tableColumn id="9" name="Geb. " dataDxfId="216"/>
    <tableColumn id="10" name="Raum_x000a_(nach)" dataDxfId="215"/>
    <tableColumn id="11" name="Bemerkung2" dataDxfId="214"/>
    <tableColumn id="12" name="Umzugs-_x000a_kartons" dataDxfId="213"/>
    <tableColumn id="13" name="Austausch_x000a_Schlüssel" dataDxfId="212"/>
    <tableColumn id="14" name="Telefon-_x000a_Service" dataDxfId="211"/>
    <tableColumn id="15" name="Monitor auf Fuß" dataDxfId="210"/>
    <tableColumn id="16" name="Monitor aufgehängt" dataDxfId="209"/>
    <tableColumn id="17" name="Dockingstation + Tastatur + Mouse" dataDxfId="208"/>
    <tableColumn id="18" name="Telefon" dataDxfId="207"/>
    <tableColumn id="19" name="Schreibtisch mit Rückwand" dataDxfId="206"/>
    <tableColumn id="20" name="Monitoraufhängung" dataDxfId="205"/>
    <tableColumn id="21" name="Schreibtisch ohne Rückwand" dataDxfId="204"/>
    <tableColumn id="22" name="Bürodrehstuhl" dataDxfId="203"/>
    <tableColumn id="23" name="Garderobenschrank" dataDxfId="202"/>
    <tableColumn id="24" name="Garderobe" dataDxfId="201"/>
    <tableColumn id="25" name="Theke 3OH" dataDxfId="200"/>
    <tableColumn id="26" name="Theke 2 OH" dataDxfId="199"/>
    <tableColumn id="27" name="Rollcontainer" dataDxfId="198"/>
    <tableColumn id="28" name="Rollcontainer m. Hängeregistratur" dataDxfId="197"/>
    <tableColumn id="29" name="Besprechungsstühle" dataDxfId="196"/>
    <tableColumn id="30" name="Besprechungstisch 80 x 80" dataDxfId="195"/>
    <tableColumn id="31" name="Besprechungstisch 80 * 160" dataDxfId="194"/>
    <tableColumn id="32" name="Tisch 80 x 80 höhenverstellbar" dataDxfId="193"/>
    <tableColumn id="33" name="Stehlampen" dataDxfId="192"/>
    <tableColumn id="34" name="Wandmonitor" dataDxfId="191"/>
    <tableColumn id="35" name="Whiteboard" dataDxfId="190"/>
    <tableColumn id="36" name="Sonstiges /_x000a_Bemerkungen" dataDxfId="189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Tabelle4234678" displayName="Tabelle4234678" ref="A4:AK24" totalsRowShown="0" headerRowDxfId="179" dataDxfId="177" headerRowBorderDxfId="178" tableBorderDxfId="176">
  <autoFilter ref="A4:AK24"/>
  <tableColumns count="37">
    <tableColumn id="1" name="Nr." dataDxfId="175"/>
    <tableColumn id="2" name="Name" dataDxfId="174"/>
    <tableColumn id="3" name="CWID" dataDxfId="173"/>
    <tableColumn id="4" name="Abteilung" dataDxfId="172"/>
    <tableColumn id="5" name="Termin" dataDxfId="171"/>
    <tableColumn id="6" name="Geb." dataDxfId="170"/>
    <tableColumn id="7" name="Raum_x000a_(von)" dataDxfId="169"/>
    <tableColumn id="8" name="Bemerkung" dataDxfId="168"/>
    <tableColumn id="9" name="Geb. " dataDxfId="167"/>
    <tableColumn id="10" name="Raum_x000a_(nach)" dataDxfId="166"/>
    <tableColumn id="11" name="Bemerkung2" dataDxfId="165"/>
    <tableColumn id="12" name="Umzugs-_x000a_kartons" dataDxfId="164"/>
    <tableColumn id="37" name="Tür-_x000a_schild" dataDxfId="163"/>
    <tableColumn id="13" name="Austausch_x000a_Schlüssel" dataDxfId="162"/>
    <tableColumn id="14" name="Telefon-_x000a_Service" dataDxfId="161"/>
    <tableColumn id="15" name="Monitor auf Fuß" dataDxfId="160"/>
    <tableColumn id="16" name="Monitor aufgehängt" dataDxfId="159"/>
    <tableColumn id="17" name="Dockingstation + Tastatur + Mouse" dataDxfId="158"/>
    <tableColumn id="18" name="Telefon" dataDxfId="157"/>
    <tableColumn id="19" name="Schreibtisch mit Rückwand" dataDxfId="156"/>
    <tableColumn id="20" name="Monitoraufhängung" dataDxfId="155"/>
    <tableColumn id="21" name="Schreibtisch ohne Rückwand" dataDxfId="154"/>
    <tableColumn id="22" name="Bürodrehstuhl" dataDxfId="153"/>
    <tableColumn id="23" name="Garderobenschrank" dataDxfId="152"/>
    <tableColumn id="24" name="Garderobe" dataDxfId="151"/>
    <tableColumn id="25" name="Theke 3OH" dataDxfId="150"/>
    <tableColumn id="26" name="Theke 2 OH" dataDxfId="149"/>
    <tableColumn id="27" name="Rollcontainer" dataDxfId="148"/>
    <tableColumn id="28" name="Rollcontainer m. Hängeregistratur" dataDxfId="147"/>
    <tableColumn id="29" name="Besprechungsstühle" dataDxfId="146"/>
    <tableColumn id="30" name="Besprechungstisch 80 x 80" dataDxfId="145"/>
    <tableColumn id="31" name="Besprechungstisch 80 * 160" dataDxfId="144"/>
    <tableColumn id="32" name="Tisch 80 x 80 höhenverstellbar" dataDxfId="143"/>
    <tableColumn id="33" name="Stehlampen" dataDxfId="142"/>
    <tableColumn id="34" name="Wandmonitor" dataDxfId="141"/>
    <tableColumn id="35" name="Whiteboard" dataDxfId="140"/>
    <tableColumn id="36" name="Sonstiges /_x000a_Bemerkungen" dataDxfId="139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Tabelle42346789" displayName="Tabelle42346789" ref="A4:AK22" totalsRowShown="0" headerRowDxfId="130" dataDxfId="128" headerRowBorderDxfId="129" tableBorderDxfId="127">
  <autoFilter ref="A4:AK22"/>
  <tableColumns count="37">
    <tableColumn id="1" name="Nr." dataDxfId="126"/>
    <tableColumn id="2" name="Name" dataDxfId="125"/>
    <tableColumn id="3" name="CWID" dataDxfId="124"/>
    <tableColumn id="4" name="Abteilung" dataDxfId="123"/>
    <tableColumn id="5" name="Termin" dataDxfId="122"/>
    <tableColumn id="6" name="Geb." dataDxfId="121"/>
    <tableColumn id="7" name="Raum_x000a_(von)" dataDxfId="120"/>
    <tableColumn id="8" name="Bemerkung" dataDxfId="119"/>
    <tableColumn id="9" name="Geb. " dataDxfId="118"/>
    <tableColumn id="10" name="Raum_x000a_(nach)" dataDxfId="117"/>
    <tableColumn id="11" name="Bemerkung2" dataDxfId="116"/>
    <tableColumn id="12" name="Umzugs-_x000a_kartons" dataDxfId="115"/>
    <tableColumn id="37" name="Tür-Schild"/>
    <tableColumn id="13" name="Austausch_x000a_Schlüssel" dataDxfId="114"/>
    <tableColumn id="14" name="Telefon-_x000a_Service" dataDxfId="113"/>
    <tableColumn id="15" name="Monitor auf Fuß" dataDxfId="112"/>
    <tableColumn id="16" name="Monitor aufgehängt" dataDxfId="111"/>
    <tableColumn id="17" name="Dockingstation + Tastatur + Mouse" dataDxfId="110"/>
    <tableColumn id="18" name="Telefon" dataDxfId="109"/>
    <tableColumn id="19" name="Schreibtisch mit Rückwand" dataDxfId="108"/>
    <tableColumn id="20" name="Monitoraufhängung" dataDxfId="107"/>
    <tableColumn id="21" name="Schreibtisch ohne Rückwand" dataDxfId="106"/>
    <tableColumn id="22" name="Bürodrehstuhl" dataDxfId="105"/>
    <tableColumn id="23" name="Garderobenschrank" dataDxfId="104"/>
    <tableColumn id="24" name="Garderobe" dataDxfId="103"/>
    <tableColumn id="25" name="Theke 3OH" dataDxfId="102"/>
    <tableColumn id="26" name="Theke 2 OH" dataDxfId="101"/>
    <tableColumn id="27" name="Rollcontainer" dataDxfId="100"/>
    <tableColumn id="28" name="Rollcontainer m. Hängeregistratur" dataDxfId="99"/>
    <tableColumn id="29" name="Besprechungsstühle" dataDxfId="98"/>
    <tableColumn id="30" name="Besprechungstisch 80 x 80" dataDxfId="97"/>
    <tableColumn id="31" name="Besprechungstisch 80 * 160" dataDxfId="96"/>
    <tableColumn id="32" name="Tisch 80 x 80 höhenverstellbar" dataDxfId="95"/>
    <tableColumn id="33" name="Stehlampen" dataDxfId="94"/>
    <tableColumn id="34" name="Wandmonitor" dataDxfId="93"/>
    <tableColumn id="35" name="Whiteboard" dataDxfId="92"/>
    <tableColumn id="36" name="Sonstiges /_x000a_Bemerkungen" dataDxfId="91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Tabelle4234678910" displayName="Tabelle4234678910" ref="A4:AK21" totalsRowShown="0" headerRowDxfId="84" dataDxfId="82" headerRowBorderDxfId="83" tableBorderDxfId="81">
  <autoFilter ref="A4:AK21"/>
  <tableColumns count="37">
    <tableColumn id="1" name="Nr." dataDxfId="80"/>
    <tableColumn id="2" name="Name" dataDxfId="79"/>
    <tableColumn id="3" name="CWID" dataDxfId="78"/>
    <tableColumn id="4" name="Abteilung" dataDxfId="77"/>
    <tableColumn id="5" name="Termin" dataDxfId="76"/>
    <tableColumn id="6" name="Geb." dataDxfId="75"/>
    <tableColumn id="7" name="Raum_x000a_(von)" dataDxfId="74"/>
    <tableColumn id="8" name="Bemerkung" dataDxfId="73"/>
    <tableColumn id="9" name="Geb. " dataDxfId="72"/>
    <tableColumn id="10" name="Raum_x000a_(nach)" dataDxfId="71"/>
    <tableColumn id="11" name="Bemerkung2" dataDxfId="70"/>
    <tableColumn id="12" name="Umzugs-_x000a_kartons" dataDxfId="69"/>
    <tableColumn id="37" name="Tür-schild" dataDxfId="68"/>
    <tableColumn id="13" name="Austausch_x000a_Schlüssel" dataDxfId="67"/>
    <tableColumn id="14" name="Telefon-_x000a_Service" dataDxfId="66"/>
    <tableColumn id="15" name="Monitor auf Fuß" dataDxfId="65"/>
    <tableColumn id="16" name="Monitor aufgehängt" dataDxfId="64"/>
    <tableColumn id="17" name="Dockingstation + Tastatur + Mouse" dataDxfId="63"/>
    <tableColumn id="18" name="Telefon" dataDxfId="62"/>
    <tableColumn id="19" name="Schreibtisch mit Rückwand" dataDxfId="61"/>
    <tableColumn id="20" name="Monitoraufhängung" dataDxfId="60"/>
    <tableColumn id="21" name="Schreibtisch ohne Rückwand" dataDxfId="59"/>
    <tableColumn id="22" name="Bürodrehstuhl" dataDxfId="58"/>
    <tableColumn id="23" name="Garderobenschrank" dataDxfId="57"/>
    <tableColumn id="24" name="Garderobe" dataDxfId="56"/>
    <tableColumn id="25" name="Theke 3OH" dataDxfId="55"/>
    <tableColumn id="26" name="Theke 2 OH" dataDxfId="54"/>
    <tableColumn id="27" name="Rollcontainer" dataDxfId="53"/>
    <tableColumn id="28" name="Rollcontainer m. Hängeregistratur" dataDxfId="52"/>
    <tableColumn id="29" name="Besprechungsstühle" dataDxfId="51"/>
    <tableColumn id="30" name="Besprechungstisch 80 x 80" dataDxfId="50"/>
    <tableColumn id="31" name="Besprechungstisch 80 * 160" dataDxfId="49"/>
    <tableColumn id="32" name="Tisch 80 x 80 höhenverstellbar" dataDxfId="48"/>
    <tableColumn id="33" name="Stehlampen" dataDxfId="47"/>
    <tableColumn id="34" name="Wandmonitor" dataDxfId="46"/>
    <tableColumn id="35" name="Whiteboard" dataDxfId="45"/>
    <tableColumn id="36" name="Sonstiges /_x000a_Bemerkungen" dataDxfId="44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4" name="Tabelle4" displayName="Tabelle4" ref="A4:AJ30" totalsRowShown="0" headerRowDxfId="38" headerRowBorderDxfId="37" tableBorderDxfId="36">
  <autoFilter ref="A4:AJ30"/>
  <tableColumns count="36">
    <tableColumn id="1" name="Nr." dataDxfId="35"/>
    <tableColumn id="2" name="Name" dataDxfId="34"/>
    <tableColumn id="3" name="CWID" dataDxfId="33"/>
    <tableColumn id="4" name="Abteilung" dataDxfId="32"/>
    <tableColumn id="5" name="Termin" dataDxfId="31"/>
    <tableColumn id="6" name="Geb." dataDxfId="30"/>
    <tableColumn id="7" name="Raum" dataDxfId="29"/>
    <tableColumn id="8" name="Bemerkung" dataDxfId="28"/>
    <tableColumn id="9" name="Geb. " dataDxfId="27"/>
    <tableColumn id="10" name="Raum2" dataDxfId="26"/>
    <tableColumn id="11" name="Bemerkung3" dataDxfId="25"/>
    <tableColumn id="12" name="Umzugs-_x000a_kartons" dataDxfId="24"/>
    <tableColumn id="13" name="Austausch_x000a_Schlüssel" dataDxfId="23"/>
    <tableColumn id="14" name="Telefon-_x000a_Service" dataDxfId="22"/>
    <tableColumn id="15" name="Monitor auf Fuß" dataDxfId="21"/>
    <tableColumn id="16" name="Monitor aufgehängt" dataDxfId="20"/>
    <tableColumn id="17" name="Dockingstation + Tastatur + Mouse" dataDxfId="19"/>
    <tableColumn id="18" name="Telefon" dataDxfId="18"/>
    <tableColumn id="19" name="Schreibtisch mit Rückwand" dataDxfId="17"/>
    <tableColumn id="20" name="Monitoraufhängung" dataDxfId="16"/>
    <tableColumn id="21" name="Schreibtisch ohne Rückwand" dataDxfId="15"/>
    <tableColumn id="22" name="Bürodrehstuhl" dataDxfId="14"/>
    <tableColumn id="23" name="Garderobenschrank" dataDxfId="13"/>
    <tableColumn id="24" name="Garderobe" dataDxfId="12"/>
    <tableColumn id="25" name="Theke 3OH" dataDxfId="11"/>
    <tableColumn id="26" name="Theke 2 OH" dataDxfId="10"/>
    <tableColumn id="27" name="Rollcontainer" dataDxfId="9"/>
    <tableColumn id="28" name="Rollcontainer m. Hängeregistratur" dataDxfId="8"/>
    <tableColumn id="29" name="Besprechungsstühle" dataDxfId="7"/>
    <tableColumn id="30" name="Besprechungstisch 80 x 80" dataDxfId="6"/>
    <tableColumn id="31" name="Besprechungstisch 80 * 160" dataDxfId="5"/>
    <tableColumn id="32" name="Tisch 80 x 80 höhenverstellbar" dataDxfId="4"/>
    <tableColumn id="33" name="Stehlampen" dataDxfId="3"/>
    <tableColumn id="34" name="Wandmonitor" dataDxfId="2"/>
    <tableColumn id="35" name="Whiteboard" dataDxfId="1"/>
    <tableColumn id="36" name="Sonstiges /_x000a_Bemerkunge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EL20"/>
  <sheetViews>
    <sheetView showGridLines="0" zoomScale="80" zoomScaleNormal="80" zoomScaleSheetLayoutView="84" workbookViewId="0">
      <pane ySplit="4" topLeftCell="A5" activePane="bottomLeft" state="frozen"/>
      <selection pane="bottomLeft" activeCell="G6" sqref="G6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2.4257812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3" width="9.140625" style="2" customWidth="1"/>
    <col min="14" max="14" width="14" style="2" customWidth="1"/>
    <col min="15" max="15" width="9.140625" style="2" customWidth="1"/>
    <col min="16" max="36" width="4.7109375" style="2" customWidth="1"/>
    <col min="37" max="37" width="52.5703125" style="2" customWidth="1"/>
    <col min="38" max="142" width="11.42578125" style="3"/>
    <col min="143" max="16384" width="11.42578125" style="1"/>
  </cols>
  <sheetData>
    <row r="1" spans="1:142" ht="30.75" customHeight="1" thickBot="1" x14ac:dyDescent="0.25">
      <c r="A1" s="629" t="s">
        <v>218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1"/>
      <c r="AK1" s="632"/>
    </row>
    <row r="2" spans="1:142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5"/>
      <c r="AK2" s="636"/>
    </row>
    <row r="3" spans="1:142" ht="13.5" thickBot="1" x14ac:dyDescent="0.25">
      <c r="A3" s="37"/>
      <c r="B3" s="35"/>
      <c r="C3" s="39"/>
      <c r="D3" s="90"/>
      <c r="E3" s="637" t="s">
        <v>5</v>
      </c>
      <c r="F3" s="638"/>
      <c r="G3" s="638"/>
      <c r="H3" s="639"/>
      <c r="I3" s="640" t="s">
        <v>11</v>
      </c>
      <c r="J3" s="640"/>
      <c r="K3" s="640"/>
      <c r="L3" s="641" t="s">
        <v>237</v>
      </c>
      <c r="M3" s="640"/>
      <c r="N3" s="640"/>
      <c r="O3" s="642"/>
      <c r="P3" s="640" t="s">
        <v>189</v>
      </c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2"/>
    </row>
    <row r="4" spans="1:142" s="3" customFormat="1" ht="141.75" customHeight="1" thickBot="1" x14ac:dyDescent="0.25">
      <c r="A4" s="20" t="s">
        <v>0</v>
      </c>
      <c r="B4" s="36" t="s">
        <v>1</v>
      </c>
      <c r="C4" s="21" t="s">
        <v>184</v>
      </c>
      <c r="D4" s="91" t="s">
        <v>6</v>
      </c>
      <c r="E4" s="20" t="s">
        <v>2</v>
      </c>
      <c r="F4" s="22" t="s">
        <v>3</v>
      </c>
      <c r="G4" s="31" t="s">
        <v>235</v>
      </c>
      <c r="H4" s="11" t="s">
        <v>10</v>
      </c>
      <c r="I4" s="23" t="s">
        <v>12</v>
      </c>
      <c r="J4" s="96" t="s">
        <v>236</v>
      </c>
      <c r="K4" s="97" t="s">
        <v>240</v>
      </c>
      <c r="L4" s="94" t="s">
        <v>185</v>
      </c>
      <c r="M4" s="564" t="s">
        <v>469</v>
      </c>
      <c r="N4" s="31" t="s">
        <v>186</v>
      </c>
      <c r="O4" s="95" t="s">
        <v>187</v>
      </c>
      <c r="P4" s="93" t="s">
        <v>163</v>
      </c>
      <c r="Q4" s="32" t="s">
        <v>164</v>
      </c>
      <c r="R4" s="32" t="s">
        <v>165</v>
      </c>
      <c r="S4" s="32" t="s">
        <v>166</v>
      </c>
      <c r="T4" s="32" t="s">
        <v>167</v>
      </c>
      <c r="U4" s="32" t="s">
        <v>168</v>
      </c>
      <c r="V4" s="32" t="s">
        <v>169</v>
      </c>
      <c r="W4" s="32" t="s">
        <v>170</v>
      </c>
      <c r="X4" s="32" t="s">
        <v>171</v>
      </c>
      <c r="Y4" s="32" t="s">
        <v>172</v>
      </c>
      <c r="Z4" s="32" t="s">
        <v>173</v>
      </c>
      <c r="AA4" s="32" t="s">
        <v>174</v>
      </c>
      <c r="AB4" s="32" t="s">
        <v>175</v>
      </c>
      <c r="AC4" s="32" t="s">
        <v>176</v>
      </c>
      <c r="AD4" s="32" t="s">
        <v>177</v>
      </c>
      <c r="AE4" s="32" t="s">
        <v>178</v>
      </c>
      <c r="AF4" s="32" t="s">
        <v>179</v>
      </c>
      <c r="AG4" s="32" t="s">
        <v>180</v>
      </c>
      <c r="AH4" s="32" t="s">
        <v>181</v>
      </c>
      <c r="AI4" s="32" t="s">
        <v>182</v>
      </c>
      <c r="AJ4" s="33" t="s">
        <v>183</v>
      </c>
      <c r="AK4" s="34" t="s">
        <v>190</v>
      </c>
    </row>
    <row r="5" spans="1:142" s="44" customFormat="1" ht="51" x14ac:dyDescent="0.2">
      <c r="A5" s="107">
        <v>1</v>
      </c>
      <c r="B5" s="108" t="s">
        <v>55</v>
      </c>
      <c r="C5" s="109" t="s">
        <v>221</v>
      </c>
      <c r="D5" s="110" t="s">
        <v>212</v>
      </c>
      <c r="E5" s="111">
        <v>42878</v>
      </c>
      <c r="F5" s="112" t="s">
        <v>14</v>
      </c>
      <c r="G5" s="113" t="s">
        <v>56</v>
      </c>
      <c r="H5" s="114"/>
      <c r="I5" s="115" t="s">
        <v>7</v>
      </c>
      <c r="J5" s="116">
        <v>784</v>
      </c>
      <c r="K5" s="117" t="s">
        <v>262</v>
      </c>
      <c r="L5" s="118">
        <v>8</v>
      </c>
      <c r="M5" s="610" t="s">
        <v>431</v>
      </c>
      <c r="N5" s="592" t="s">
        <v>452</v>
      </c>
      <c r="O5" s="117"/>
      <c r="P5" s="119"/>
      <c r="Q5" s="120">
        <v>1</v>
      </c>
      <c r="R5" s="120">
        <v>1</v>
      </c>
      <c r="S5" s="120">
        <v>1</v>
      </c>
      <c r="T5" s="120">
        <v>1</v>
      </c>
      <c r="U5" s="120">
        <v>1</v>
      </c>
      <c r="V5" s="120"/>
      <c r="W5" s="120">
        <v>1</v>
      </c>
      <c r="X5" s="120"/>
      <c r="Y5" s="120">
        <v>1</v>
      </c>
      <c r="Z5" s="120">
        <v>3</v>
      </c>
      <c r="AA5" s="120"/>
      <c r="AB5" s="120">
        <v>1</v>
      </c>
      <c r="AC5" s="120">
        <v>2</v>
      </c>
      <c r="AD5" s="120"/>
      <c r="AE5" s="120"/>
      <c r="AF5" s="120"/>
      <c r="AG5" s="120"/>
      <c r="AH5" s="120">
        <v>1</v>
      </c>
      <c r="AI5" s="120"/>
      <c r="AJ5" s="120"/>
      <c r="AK5" s="121" t="s">
        <v>259</v>
      </c>
    </row>
    <row r="6" spans="1:142" s="70" customFormat="1" ht="25.5" x14ac:dyDescent="0.2">
      <c r="A6" s="122">
        <v>2</v>
      </c>
      <c r="B6" s="123" t="s">
        <v>57</v>
      </c>
      <c r="C6" s="124" t="s">
        <v>222</v>
      </c>
      <c r="D6" s="125" t="s">
        <v>212</v>
      </c>
      <c r="E6" s="126">
        <v>42878</v>
      </c>
      <c r="F6" s="127" t="s">
        <v>7</v>
      </c>
      <c r="G6" s="128" t="s">
        <v>58</v>
      </c>
      <c r="H6" s="129"/>
      <c r="I6" s="130" t="s">
        <v>7</v>
      </c>
      <c r="J6" s="131">
        <v>784</v>
      </c>
      <c r="K6" s="132" t="s">
        <v>262</v>
      </c>
      <c r="L6" s="133">
        <v>3</v>
      </c>
      <c r="M6" s="263" t="s">
        <v>431</v>
      </c>
      <c r="N6" s="285" t="s">
        <v>453</v>
      </c>
      <c r="O6" s="132"/>
      <c r="P6" s="133">
        <v>1</v>
      </c>
      <c r="Q6" s="134"/>
      <c r="R6" s="134">
        <v>1</v>
      </c>
      <c r="S6" s="134">
        <v>1</v>
      </c>
      <c r="T6" s="134">
        <v>1</v>
      </c>
      <c r="U6" s="134"/>
      <c r="V6" s="134"/>
      <c r="W6" s="134">
        <v>1</v>
      </c>
      <c r="X6" s="134"/>
      <c r="Y6" s="134"/>
      <c r="Z6" s="134"/>
      <c r="AA6" s="134">
        <v>2</v>
      </c>
      <c r="AB6" s="134">
        <v>1</v>
      </c>
      <c r="AC6" s="134"/>
      <c r="AD6" s="134"/>
      <c r="AE6" s="134"/>
      <c r="AF6" s="134"/>
      <c r="AG6" s="134"/>
      <c r="AH6" s="134"/>
      <c r="AI6" s="134"/>
      <c r="AJ6" s="134"/>
      <c r="AK6" s="135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</row>
    <row r="7" spans="1:142" s="106" customFormat="1" ht="25.5" x14ac:dyDescent="0.2">
      <c r="A7" s="107">
        <v>3</v>
      </c>
      <c r="B7" s="136" t="s">
        <v>254</v>
      </c>
      <c r="C7" s="137" t="s">
        <v>232</v>
      </c>
      <c r="D7" s="138" t="s">
        <v>212</v>
      </c>
      <c r="E7" s="139">
        <v>42878</v>
      </c>
      <c r="F7" s="140"/>
      <c r="G7" s="141"/>
      <c r="H7" s="142"/>
      <c r="I7" s="143" t="s">
        <v>7</v>
      </c>
      <c r="J7" s="144">
        <v>784</v>
      </c>
      <c r="K7" s="142" t="s">
        <v>244</v>
      </c>
      <c r="L7" s="145">
        <v>0</v>
      </c>
      <c r="M7" s="609" t="s">
        <v>431</v>
      </c>
      <c r="N7" s="285" t="s">
        <v>453</v>
      </c>
      <c r="O7" s="142"/>
      <c r="P7" s="146"/>
      <c r="Q7" s="140"/>
      <c r="R7" s="140"/>
      <c r="S7" s="140"/>
      <c r="T7" s="140">
        <v>1</v>
      </c>
      <c r="U7" s="140"/>
      <c r="V7" s="140"/>
      <c r="W7" s="140">
        <v>1</v>
      </c>
      <c r="X7" s="140"/>
      <c r="Y7" s="140"/>
      <c r="Z7" s="140"/>
      <c r="AA7" s="140"/>
      <c r="AB7" s="140">
        <v>1</v>
      </c>
      <c r="AC7" s="140"/>
      <c r="AD7" s="140"/>
      <c r="AE7" s="140"/>
      <c r="AF7" s="140"/>
      <c r="AG7" s="140"/>
      <c r="AH7" s="140"/>
      <c r="AI7" s="140"/>
      <c r="AJ7" s="140"/>
      <c r="AK7" s="147" t="s">
        <v>245</v>
      </c>
      <c r="AL7" s="104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  <c r="DQ7" s="105"/>
      <c r="DR7" s="105"/>
      <c r="DS7" s="105"/>
      <c r="DT7" s="105"/>
      <c r="DU7" s="105"/>
      <c r="DV7" s="105"/>
      <c r="DW7" s="105"/>
      <c r="DX7" s="105"/>
      <c r="DY7" s="105"/>
      <c r="DZ7" s="105"/>
      <c r="EA7" s="105"/>
      <c r="EB7" s="105"/>
      <c r="EC7" s="105"/>
      <c r="ED7" s="105"/>
      <c r="EE7" s="105"/>
      <c r="EF7" s="105"/>
      <c r="EG7" s="105"/>
      <c r="EH7" s="105"/>
      <c r="EI7" s="105"/>
      <c r="EJ7" s="105"/>
      <c r="EK7" s="105"/>
      <c r="EL7" s="105"/>
    </row>
    <row r="8" spans="1:142" s="44" customFormat="1" ht="25.5" x14ac:dyDescent="0.2">
      <c r="A8" s="122">
        <v>4</v>
      </c>
      <c r="B8" s="148" t="s">
        <v>60</v>
      </c>
      <c r="C8" s="149" t="s">
        <v>223</v>
      </c>
      <c r="D8" s="150" t="s">
        <v>212</v>
      </c>
      <c r="E8" s="126">
        <v>42878</v>
      </c>
      <c r="F8" s="151" t="s">
        <v>8</v>
      </c>
      <c r="G8" s="152" t="s">
        <v>33</v>
      </c>
      <c r="H8" s="129"/>
      <c r="I8" s="130" t="s">
        <v>7</v>
      </c>
      <c r="J8" s="131">
        <v>783</v>
      </c>
      <c r="K8" s="103" t="s">
        <v>261</v>
      </c>
      <c r="L8" s="133">
        <v>4</v>
      </c>
      <c r="M8" s="263"/>
      <c r="N8" s="134" t="s">
        <v>454</v>
      </c>
      <c r="O8" s="132"/>
      <c r="P8" s="153"/>
      <c r="Q8" s="154"/>
      <c r="R8" s="154">
        <v>1</v>
      </c>
      <c r="S8" s="154">
        <v>1</v>
      </c>
      <c r="T8" s="154"/>
      <c r="U8" s="154"/>
      <c r="V8" s="154"/>
      <c r="W8" s="154">
        <v>1</v>
      </c>
      <c r="X8" s="154"/>
      <c r="Y8" s="154">
        <v>1</v>
      </c>
      <c r="Z8" s="154"/>
      <c r="AA8" s="154"/>
      <c r="AB8" s="154"/>
      <c r="AC8" s="154"/>
      <c r="AD8" s="154">
        <v>4</v>
      </c>
      <c r="AE8" s="154"/>
      <c r="AF8" s="154">
        <v>1</v>
      </c>
      <c r="AG8" s="154"/>
      <c r="AH8" s="154"/>
      <c r="AI8" s="154"/>
      <c r="AJ8" s="154"/>
      <c r="AK8" s="155" t="s">
        <v>264</v>
      </c>
    </row>
    <row r="9" spans="1:142" s="3" customFormat="1" ht="38.25" x14ac:dyDescent="0.2">
      <c r="A9" s="107">
        <v>5</v>
      </c>
      <c r="B9" s="123" t="s">
        <v>156</v>
      </c>
      <c r="C9" s="124" t="s">
        <v>226</v>
      </c>
      <c r="D9" s="125" t="s">
        <v>217</v>
      </c>
      <c r="E9" s="156">
        <v>42878</v>
      </c>
      <c r="F9" s="157" t="s">
        <v>7</v>
      </c>
      <c r="G9" s="157">
        <v>748</v>
      </c>
      <c r="H9" s="158"/>
      <c r="I9" s="159" t="s">
        <v>7</v>
      </c>
      <c r="J9" s="160">
        <v>782</v>
      </c>
      <c r="K9" s="161" t="s">
        <v>260</v>
      </c>
      <c r="L9" s="162">
        <v>5</v>
      </c>
      <c r="M9" s="154" t="s">
        <v>431</v>
      </c>
      <c r="N9" s="587" t="s">
        <v>431</v>
      </c>
      <c r="O9" s="163"/>
      <c r="P9" s="164">
        <v>1</v>
      </c>
      <c r="Q9" s="165"/>
      <c r="R9" s="165">
        <v>1</v>
      </c>
      <c r="S9" s="165">
        <v>1</v>
      </c>
      <c r="T9" s="165"/>
      <c r="U9" s="165"/>
      <c r="V9" s="165">
        <v>1</v>
      </c>
      <c r="W9" s="165">
        <v>1</v>
      </c>
      <c r="X9" s="165">
        <v>1</v>
      </c>
      <c r="Y9" s="165"/>
      <c r="Z9" s="165"/>
      <c r="AA9" s="165"/>
      <c r="AB9" s="165">
        <v>1</v>
      </c>
      <c r="AC9" s="165">
        <v>1</v>
      </c>
      <c r="AD9" s="165">
        <v>4</v>
      </c>
      <c r="AE9" s="165"/>
      <c r="AF9" s="165">
        <v>1</v>
      </c>
      <c r="AG9" s="165">
        <v>1</v>
      </c>
      <c r="AH9" s="165">
        <v>2</v>
      </c>
      <c r="AI9" s="165"/>
      <c r="AJ9" s="165"/>
      <c r="AK9" s="166" t="s">
        <v>265</v>
      </c>
    </row>
    <row r="10" spans="1:142" s="3" customFormat="1" ht="25.5" x14ac:dyDescent="0.2">
      <c r="A10" s="122">
        <v>6</v>
      </c>
      <c r="B10" s="167" t="s">
        <v>157</v>
      </c>
      <c r="C10" s="168" t="s">
        <v>227</v>
      </c>
      <c r="D10" s="125" t="s">
        <v>217</v>
      </c>
      <c r="E10" s="126">
        <v>42878</v>
      </c>
      <c r="F10" s="134" t="s">
        <v>7</v>
      </c>
      <c r="G10" s="134" t="s">
        <v>155</v>
      </c>
      <c r="H10" s="169" t="s">
        <v>126</v>
      </c>
      <c r="I10" s="170" t="s">
        <v>7</v>
      </c>
      <c r="J10" s="171">
        <v>781</v>
      </c>
      <c r="K10" s="172" t="s">
        <v>246</v>
      </c>
      <c r="L10" s="164">
        <v>0</v>
      </c>
      <c r="M10" s="609" t="s">
        <v>431</v>
      </c>
      <c r="N10" s="455" t="s">
        <v>303</v>
      </c>
      <c r="O10" s="174"/>
      <c r="P10" s="175"/>
      <c r="Q10" s="173"/>
      <c r="R10" s="173">
        <v>1</v>
      </c>
      <c r="S10" s="173">
        <v>1</v>
      </c>
      <c r="T10" s="173"/>
      <c r="U10" s="173"/>
      <c r="V10" s="173"/>
      <c r="W10" s="173">
        <v>1</v>
      </c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6" t="s">
        <v>255</v>
      </c>
    </row>
    <row r="11" spans="1:142" s="3" customFormat="1" ht="15.75" x14ac:dyDescent="0.2">
      <c r="A11" s="107">
        <v>7</v>
      </c>
      <c r="B11" s="123" t="s">
        <v>154</v>
      </c>
      <c r="C11" s="124" t="s">
        <v>228</v>
      </c>
      <c r="D11" s="125" t="s">
        <v>217</v>
      </c>
      <c r="E11" s="111">
        <v>42878</v>
      </c>
      <c r="F11" s="152" t="s">
        <v>7</v>
      </c>
      <c r="G11" s="152" t="s">
        <v>155</v>
      </c>
      <c r="H11" s="169"/>
      <c r="I11" s="170" t="s">
        <v>7</v>
      </c>
      <c r="J11" s="171">
        <v>781</v>
      </c>
      <c r="K11" s="174"/>
      <c r="L11" s="164">
        <v>15</v>
      </c>
      <c r="M11" s="611"/>
      <c r="N11" s="593" t="s">
        <v>245</v>
      </c>
      <c r="O11" s="174"/>
      <c r="P11" s="175"/>
      <c r="Q11" s="173"/>
      <c r="R11" s="173">
        <v>1</v>
      </c>
      <c r="S11" s="173">
        <v>1</v>
      </c>
      <c r="T11" s="173"/>
      <c r="U11" s="173"/>
      <c r="V11" s="173"/>
      <c r="W11" s="173">
        <v>1</v>
      </c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6" t="s">
        <v>255</v>
      </c>
    </row>
    <row r="12" spans="1:142" s="3" customFormat="1" ht="38.25" x14ac:dyDescent="0.2">
      <c r="A12" s="122">
        <v>8</v>
      </c>
      <c r="B12" s="123" t="s">
        <v>219</v>
      </c>
      <c r="C12" s="124" t="s">
        <v>224</v>
      </c>
      <c r="D12" s="125" t="s">
        <v>217</v>
      </c>
      <c r="E12" s="111">
        <v>42878</v>
      </c>
      <c r="F12" s="152" t="s">
        <v>7</v>
      </c>
      <c r="G12" s="152">
        <v>751</v>
      </c>
      <c r="H12" s="169"/>
      <c r="I12" s="170" t="s">
        <v>7</v>
      </c>
      <c r="J12" s="171">
        <v>780</v>
      </c>
      <c r="K12" s="174" t="s">
        <v>263</v>
      </c>
      <c r="L12" s="216">
        <v>5</v>
      </c>
      <c r="M12" s="263" t="s">
        <v>431</v>
      </c>
      <c r="N12" s="594" t="s">
        <v>431</v>
      </c>
      <c r="O12" s="217">
        <v>1</v>
      </c>
      <c r="P12" s="218"/>
      <c r="Q12" s="72">
        <v>1</v>
      </c>
      <c r="R12" s="72">
        <v>1</v>
      </c>
      <c r="S12" s="72">
        <v>1</v>
      </c>
      <c r="T12" s="72">
        <v>1</v>
      </c>
      <c r="U12" s="72"/>
      <c r="V12" s="72"/>
      <c r="W12" s="72">
        <v>1</v>
      </c>
      <c r="X12" s="72">
        <v>1</v>
      </c>
      <c r="Y12" s="72"/>
      <c r="Z12" s="72">
        <v>1</v>
      </c>
      <c r="AA12" s="72"/>
      <c r="AB12" s="72">
        <v>1</v>
      </c>
      <c r="AC12" s="72"/>
      <c r="AD12" s="72"/>
      <c r="AE12" s="72"/>
      <c r="AF12" s="72"/>
      <c r="AG12" s="72"/>
      <c r="AH12" s="72">
        <v>1</v>
      </c>
      <c r="AI12" s="72"/>
      <c r="AJ12" s="72"/>
      <c r="AK12" s="219" t="s">
        <v>273</v>
      </c>
    </row>
    <row r="13" spans="1:142" s="3" customFormat="1" ht="51" x14ac:dyDescent="0.2">
      <c r="A13" s="107">
        <v>9</v>
      </c>
      <c r="B13" s="123" t="s">
        <v>153</v>
      </c>
      <c r="C13" s="124" t="s">
        <v>225</v>
      </c>
      <c r="D13" s="125" t="s">
        <v>217</v>
      </c>
      <c r="E13" s="126">
        <v>42878</v>
      </c>
      <c r="F13" s="152" t="s">
        <v>7</v>
      </c>
      <c r="G13" s="152">
        <v>731</v>
      </c>
      <c r="H13" s="169"/>
      <c r="I13" s="170" t="s">
        <v>7</v>
      </c>
      <c r="J13" s="171">
        <v>780</v>
      </c>
      <c r="K13" s="174" t="s">
        <v>263</v>
      </c>
      <c r="L13" s="164"/>
      <c r="M13" s="609" t="s">
        <v>431</v>
      </c>
      <c r="N13" s="595" t="s">
        <v>455</v>
      </c>
      <c r="O13" s="174"/>
      <c r="P13" s="175">
        <v>1</v>
      </c>
      <c r="Q13" s="173"/>
      <c r="R13" s="173">
        <v>1</v>
      </c>
      <c r="S13" s="173">
        <v>1</v>
      </c>
      <c r="T13" s="173"/>
      <c r="U13" s="173"/>
      <c r="V13" s="173">
        <v>1</v>
      </c>
      <c r="W13" s="173">
        <v>0</v>
      </c>
      <c r="X13" s="173"/>
      <c r="Y13" s="173">
        <v>1</v>
      </c>
      <c r="Z13" s="173"/>
      <c r="AA13" s="173">
        <v>1</v>
      </c>
      <c r="AB13" s="173">
        <v>1</v>
      </c>
      <c r="AC13" s="173"/>
      <c r="AD13" s="173">
        <v>2</v>
      </c>
      <c r="AE13" s="173"/>
      <c r="AF13" s="173"/>
      <c r="AG13" s="173"/>
      <c r="AH13" s="173"/>
      <c r="AI13" s="173"/>
      <c r="AJ13" s="173"/>
      <c r="AK13" s="178" t="s">
        <v>268</v>
      </c>
    </row>
    <row r="14" spans="1:142" s="44" customFormat="1" ht="15.75" x14ac:dyDescent="0.2">
      <c r="A14" s="122">
        <v>10</v>
      </c>
      <c r="B14" s="179" t="s">
        <v>233</v>
      </c>
      <c r="C14" s="180" t="s">
        <v>234</v>
      </c>
      <c r="D14" s="181" t="s">
        <v>212</v>
      </c>
      <c r="E14" s="111">
        <v>42878</v>
      </c>
      <c r="F14" s="120" t="s">
        <v>7</v>
      </c>
      <c r="G14" s="120">
        <v>780</v>
      </c>
      <c r="H14" s="114"/>
      <c r="I14" s="182" t="s">
        <v>7</v>
      </c>
      <c r="J14" s="183">
        <v>748</v>
      </c>
      <c r="K14" s="100" t="s">
        <v>239</v>
      </c>
      <c r="L14" s="119">
        <v>0</v>
      </c>
      <c r="M14" s="119"/>
      <c r="N14" s="120" t="s">
        <v>431</v>
      </c>
      <c r="O14" s="184"/>
      <c r="P14" s="119"/>
      <c r="Q14" s="120"/>
      <c r="R14" s="120">
        <v>1</v>
      </c>
      <c r="S14" s="120">
        <v>1</v>
      </c>
      <c r="T14" s="120"/>
      <c r="U14" s="120"/>
      <c r="V14" s="120"/>
      <c r="W14" s="120">
        <v>1</v>
      </c>
      <c r="X14" s="120"/>
      <c r="Y14" s="120">
        <v>1</v>
      </c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85" t="s">
        <v>258</v>
      </c>
    </row>
    <row r="15" spans="1:142" s="70" customFormat="1" ht="25.5" x14ac:dyDescent="0.2">
      <c r="A15" s="107">
        <v>11</v>
      </c>
      <c r="B15" s="167" t="s">
        <v>24</v>
      </c>
      <c r="C15" s="186" t="s">
        <v>200</v>
      </c>
      <c r="D15" s="187" t="s">
        <v>35</v>
      </c>
      <c r="E15" s="111">
        <v>42878</v>
      </c>
      <c r="F15" s="134" t="s">
        <v>8</v>
      </c>
      <c r="G15" s="134" t="s">
        <v>33</v>
      </c>
      <c r="H15" s="129"/>
      <c r="I15" s="130" t="s">
        <v>7</v>
      </c>
      <c r="J15" s="188" t="s">
        <v>16</v>
      </c>
      <c r="K15" s="189" t="s">
        <v>252</v>
      </c>
      <c r="L15" s="133">
        <v>8</v>
      </c>
      <c r="M15" s="267"/>
      <c r="N15" s="134" t="s">
        <v>454</v>
      </c>
      <c r="O15" s="190"/>
      <c r="P15" s="133"/>
      <c r="Q15" s="134"/>
      <c r="R15" s="134">
        <v>1</v>
      </c>
      <c r="S15" s="134">
        <v>1</v>
      </c>
      <c r="T15" s="134">
        <v>1</v>
      </c>
      <c r="U15" s="134">
        <v>1</v>
      </c>
      <c r="V15" s="134"/>
      <c r="W15" s="134">
        <v>1</v>
      </c>
      <c r="X15" s="134"/>
      <c r="Y15" s="134"/>
      <c r="Z15" s="134">
        <v>1</v>
      </c>
      <c r="AA15" s="134"/>
      <c r="AB15" s="134">
        <v>1</v>
      </c>
      <c r="AC15" s="134"/>
      <c r="AD15" s="134"/>
      <c r="AE15" s="134"/>
      <c r="AF15" s="134"/>
      <c r="AG15" s="134"/>
      <c r="AH15" s="134"/>
      <c r="AI15" s="134"/>
      <c r="AJ15" s="134"/>
      <c r="AK15" s="191" t="s">
        <v>210</v>
      </c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</row>
    <row r="16" spans="1:142" s="3" customFormat="1" ht="25.5" x14ac:dyDescent="0.2">
      <c r="A16" s="122">
        <v>12</v>
      </c>
      <c r="B16" s="167" t="s">
        <v>148</v>
      </c>
      <c r="C16" s="124" t="s">
        <v>230</v>
      </c>
      <c r="D16" s="125" t="s">
        <v>216</v>
      </c>
      <c r="E16" s="111">
        <v>42878</v>
      </c>
      <c r="F16" s="152" t="s">
        <v>7</v>
      </c>
      <c r="G16" s="152">
        <v>781</v>
      </c>
      <c r="H16" s="169"/>
      <c r="I16" s="170" t="s">
        <v>7</v>
      </c>
      <c r="J16" s="192" t="s">
        <v>15</v>
      </c>
      <c r="K16" s="101" t="s">
        <v>252</v>
      </c>
      <c r="L16" s="164">
        <v>0</v>
      </c>
      <c r="M16" s="607"/>
      <c r="N16" s="128" t="s">
        <v>431</v>
      </c>
      <c r="O16" s="174"/>
      <c r="P16" s="175"/>
      <c r="Q16" s="173"/>
      <c r="R16" s="173">
        <v>1</v>
      </c>
      <c r="S16" s="173">
        <v>1</v>
      </c>
      <c r="T16" s="173"/>
      <c r="U16" s="173"/>
      <c r="V16" s="173"/>
      <c r="W16" s="173">
        <v>1</v>
      </c>
      <c r="X16" s="173"/>
      <c r="Y16" s="173">
        <v>1</v>
      </c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93" t="s">
        <v>245</v>
      </c>
    </row>
    <row r="17" spans="1:142" s="3" customFormat="1" ht="25.5" x14ac:dyDescent="0.2">
      <c r="A17" s="107">
        <v>13</v>
      </c>
      <c r="B17" s="123" t="s">
        <v>125</v>
      </c>
      <c r="C17" s="124" t="s">
        <v>231</v>
      </c>
      <c r="D17" s="125" t="s">
        <v>216</v>
      </c>
      <c r="E17" s="126">
        <v>42878</v>
      </c>
      <c r="F17" s="152" t="s">
        <v>7</v>
      </c>
      <c r="G17" s="152">
        <v>781</v>
      </c>
      <c r="H17" s="169" t="s">
        <v>126</v>
      </c>
      <c r="I17" s="170" t="s">
        <v>7</v>
      </c>
      <c r="J17" s="192" t="s">
        <v>15</v>
      </c>
      <c r="K17" s="101" t="s">
        <v>253</v>
      </c>
      <c r="L17" s="133">
        <v>0</v>
      </c>
      <c r="M17" s="267"/>
      <c r="N17" s="596" t="s">
        <v>245</v>
      </c>
      <c r="O17" s="194"/>
      <c r="P17" s="195"/>
      <c r="Q17" s="152"/>
      <c r="R17" s="152">
        <v>1</v>
      </c>
      <c r="S17" s="152">
        <v>1</v>
      </c>
      <c r="T17" s="152"/>
      <c r="U17" s="152"/>
      <c r="V17" s="152"/>
      <c r="W17" s="152">
        <v>1</v>
      </c>
      <c r="X17" s="152"/>
      <c r="Y17" s="152">
        <v>1</v>
      </c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96" t="s">
        <v>245</v>
      </c>
    </row>
    <row r="18" spans="1:142" s="70" customFormat="1" ht="51" x14ac:dyDescent="0.2">
      <c r="A18" s="122">
        <v>14</v>
      </c>
      <c r="B18" s="167" t="s">
        <v>87</v>
      </c>
      <c r="C18" s="186" t="s">
        <v>250</v>
      </c>
      <c r="D18" s="187" t="s">
        <v>213</v>
      </c>
      <c r="E18" s="126">
        <v>42878</v>
      </c>
      <c r="F18" s="134" t="s">
        <v>7</v>
      </c>
      <c r="G18" s="134">
        <v>114</v>
      </c>
      <c r="H18" s="129"/>
      <c r="I18" s="130" t="s">
        <v>7</v>
      </c>
      <c r="J18" s="188" t="s">
        <v>251</v>
      </c>
      <c r="K18" s="102" t="s">
        <v>253</v>
      </c>
      <c r="L18" s="133">
        <v>3</v>
      </c>
      <c r="M18" s="267"/>
      <c r="N18" s="134"/>
      <c r="O18" s="132"/>
      <c r="P18" s="133"/>
      <c r="Q18" s="134">
        <v>1</v>
      </c>
      <c r="R18" s="134">
        <v>1</v>
      </c>
      <c r="S18" s="134">
        <v>1</v>
      </c>
      <c r="T18" s="134">
        <v>1</v>
      </c>
      <c r="U18" s="134">
        <v>1</v>
      </c>
      <c r="V18" s="134"/>
      <c r="W18" s="134">
        <v>1</v>
      </c>
      <c r="X18" s="134"/>
      <c r="Y18" s="134"/>
      <c r="Z18" s="134"/>
      <c r="AA18" s="134">
        <v>1</v>
      </c>
      <c r="AB18" s="134"/>
      <c r="AC18" s="134"/>
      <c r="AD18" s="134"/>
      <c r="AE18" s="134"/>
      <c r="AF18" s="134"/>
      <c r="AG18" s="134"/>
      <c r="AH18" s="134"/>
      <c r="AI18" s="134"/>
      <c r="AJ18" s="134"/>
      <c r="AK18" s="191" t="s">
        <v>257</v>
      </c>
    </row>
    <row r="19" spans="1:142" s="70" customFormat="1" ht="25.5" x14ac:dyDescent="0.2">
      <c r="A19" s="107">
        <v>15</v>
      </c>
      <c r="B19" s="167" t="s">
        <v>77</v>
      </c>
      <c r="C19" s="186" t="s">
        <v>249</v>
      </c>
      <c r="D19" s="187" t="s">
        <v>213</v>
      </c>
      <c r="E19" s="126">
        <v>42878</v>
      </c>
      <c r="F19" s="134" t="s">
        <v>7</v>
      </c>
      <c r="G19" s="134">
        <v>114</v>
      </c>
      <c r="H19" s="129"/>
      <c r="I19" s="130" t="s">
        <v>7</v>
      </c>
      <c r="J19" s="188" t="s">
        <v>251</v>
      </c>
      <c r="K19" s="103" t="s">
        <v>253</v>
      </c>
      <c r="L19" s="133">
        <v>7</v>
      </c>
      <c r="M19" s="267"/>
      <c r="N19" s="168" t="s">
        <v>300</v>
      </c>
      <c r="O19" s="132"/>
      <c r="P19" s="133"/>
      <c r="Q19" s="134">
        <v>1</v>
      </c>
      <c r="R19" s="134">
        <v>1</v>
      </c>
      <c r="S19" s="134">
        <v>1</v>
      </c>
      <c r="T19" s="134">
        <v>1</v>
      </c>
      <c r="U19" s="134">
        <v>1</v>
      </c>
      <c r="V19" s="134"/>
      <c r="W19" s="134">
        <v>1</v>
      </c>
      <c r="X19" s="134"/>
      <c r="Y19" s="134"/>
      <c r="Z19" s="134">
        <v>1</v>
      </c>
      <c r="AA19" s="134">
        <v>1</v>
      </c>
      <c r="AB19" s="134"/>
      <c r="AC19" s="134"/>
      <c r="AD19" s="134"/>
      <c r="AE19" s="134"/>
      <c r="AF19" s="134"/>
      <c r="AG19" s="134"/>
      <c r="AH19" s="134"/>
      <c r="AI19" s="134"/>
      <c r="AJ19" s="134"/>
      <c r="AK19" s="197" t="s">
        <v>256</v>
      </c>
    </row>
    <row r="20" spans="1:142" x14ac:dyDescent="0.2">
      <c r="B20" s="17"/>
      <c r="C20" s="17"/>
      <c r="O20" s="2" t="s">
        <v>191</v>
      </c>
      <c r="P20" s="42">
        <f t="shared" ref="P20:AJ20" si="0">SUM(P5:P19)</f>
        <v>3</v>
      </c>
      <c r="Q20" s="42">
        <f t="shared" si="0"/>
        <v>4</v>
      </c>
      <c r="R20" s="42">
        <f t="shared" si="0"/>
        <v>14</v>
      </c>
      <c r="S20" s="42">
        <f t="shared" si="0"/>
        <v>14</v>
      </c>
      <c r="T20" s="42">
        <f t="shared" si="0"/>
        <v>7</v>
      </c>
      <c r="U20" s="42">
        <f t="shared" si="0"/>
        <v>4</v>
      </c>
      <c r="V20" s="42">
        <f t="shared" si="0"/>
        <v>2</v>
      </c>
      <c r="W20" s="42">
        <f t="shared" si="0"/>
        <v>14</v>
      </c>
      <c r="X20" s="42">
        <f t="shared" si="0"/>
        <v>2</v>
      </c>
      <c r="Y20" s="42">
        <f t="shared" si="0"/>
        <v>6</v>
      </c>
      <c r="Z20" s="42">
        <f t="shared" si="0"/>
        <v>6</v>
      </c>
      <c r="AA20" s="42">
        <f t="shared" si="0"/>
        <v>5</v>
      </c>
      <c r="AB20" s="42">
        <f t="shared" si="0"/>
        <v>7</v>
      </c>
      <c r="AC20" s="42">
        <f t="shared" si="0"/>
        <v>3</v>
      </c>
      <c r="AD20" s="42">
        <f t="shared" si="0"/>
        <v>10</v>
      </c>
      <c r="AE20" s="42">
        <f t="shared" si="0"/>
        <v>0</v>
      </c>
      <c r="AF20" s="42">
        <f t="shared" si="0"/>
        <v>2</v>
      </c>
      <c r="AG20" s="42">
        <f t="shared" si="0"/>
        <v>1</v>
      </c>
      <c r="AH20" s="42">
        <f t="shared" si="0"/>
        <v>4</v>
      </c>
      <c r="AI20" s="42">
        <f t="shared" si="0"/>
        <v>0</v>
      </c>
      <c r="AJ20" s="42">
        <f t="shared" si="0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</row>
  </sheetData>
  <mergeCells count="6">
    <mergeCell ref="A1:AK1"/>
    <mergeCell ref="A2:AK2"/>
    <mergeCell ref="E3:H3"/>
    <mergeCell ref="I3:K3"/>
    <mergeCell ref="L3:O3"/>
    <mergeCell ref="P3:AK3"/>
  </mergeCells>
  <conditionalFormatting sqref="K7:L7 O7:AJ7">
    <cfRule type="cellIs" dxfId="456" priority="7" stopIfTrue="1" operator="equal">
      <formula>"neu"</formula>
    </cfRule>
  </conditionalFormatting>
  <conditionalFormatting sqref="K15:AJ15">
    <cfRule type="cellIs" dxfId="455" priority="4" stopIfTrue="1" operator="equal">
      <formula>"neu"</formula>
    </cfRule>
  </conditionalFormatting>
  <conditionalFormatting sqref="K16">
    <cfRule type="cellIs" dxfId="454" priority="3" stopIfTrue="1" operator="equal">
      <formula>"neu"</formula>
    </cfRule>
  </conditionalFormatting>
  <conditionalFormatting sqref="K17">
    <cfRule type="cellIs" dxfId="453" priority="2" stopIfTrue="1" operator="equal">
      <formula>"neu"</formula>
    </cfRule>
  </conditionalFormatting>
  <conditionalFormatting sqref="AK8">
    <cfRule type="cellIs" dxfId="452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EL19"/>
  <sheetViews>
    <sheetView showGridLines="0" zoomScale="80" zoomScaleNormal="80" zoomScaleSheetLayoutView="84" workbookViewId="0">
      <pane ySplit="4" topLeftCell="A5" activePane="bottomLeft" state="frozen"/>
      <selection pane="bottomLeft" activeCell="C9" sqref="C9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customWidth="1"/>
    <col min="6" max="6" width="6.7109375" style="2" customWidth="1"/>
    <col min="7" max="7" width="9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5" width="9.140625" style="2" customWidth="1"/>
    <col min="16" max="36" width="4.7109375" style="2" customWidth="1"/>
    <col min="37" max="37" width="52.5703125" style="2" customWidth="1"/>
    <col min="38" max="142" width="11.42578125" style="3"/>
    <col min="143" max="16384" width="11.42578125" style="1"/>
  </cols>
  <sheetData>
    <row r="1" spans="1:142" ht="30.75" customHeight="1" thickBot="1" x14ac:dyDescent="0.25">
      <c r="A1" s="629" t="s">
        <v>271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1"/>
      <c r="AK1" s="632"/>
    </row>
    <row r="2" spans="1:142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5"/>
      <c r="AK2" s="636"/>
    </row>
    <row r="3" spans="1:142" ht="13.5" thickBot="1" x14ac:dyDescent="0.25">
      <c r="A3" s="37"/>
      <c r="B3" s="35"/>
      <c r="C3" s="39"/>
      <c r="D3" s="90"/>
      <c r="E3" s="637" t="s">
        <v>5</v>
      </c>
      <c r="F3" s="638"/>
      <c r="G3" s="638"/>
      <c r="H3" s="639"/>
      <c r="I3" s="640" t="s">
        <v>11</v>
      </c>
      <c r="J3" s="640"/>
      <c r="K3" s="640"/>
      <c r="L3" s="641" t="s">
        <v>237</v>
      </c>
      <c r="M3" s="640"/>
      <c r="N3" s="640"/>
      <c r="O3" s="642"/>
      <c r="P3" s="640" t="s">
        <v>189</v>
      </c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2"/>
    </row>
    <row r="4" spans="1:142" s="3" customFormat="1" ht="141.75" customHeight="1" thickBot="1" x14ac:dyDescent="0.25">
      <c r="A4" s="20" t="s">
        <v>0</v>
      </c>
      <c r="B4" s="36" t="s">
        <v>1</v>
      </c>
      <c r="C4" s="21" t="s">
        <v>184</v>
      </c>
      <c r="D4" s="91" t="s">
        <v>6</v>
      </c>
      <c r="E4" s="20" t="s">
        <v>2</v>
      </c>
      <c r="F4" s="22" t="s">
        <v>3</v>
      </c>
      <c r="G4" s="31" t="s">
        <v>235</v>
      </c>
      <c r="H4" s="11" t="s">
        <v>10</v>
      </c>
      <c r="I4" s="23" t="s">
        <v>12</v>
      </c>
      <c r="J4" s="96" t="s">
        <v>236</v>
      </c>
      <c r="K4" s="97" t="s">
        <v>240</v>
      </c>
      <c r="L4" s="94" t="s">
        <v>185</v>
      </c>
      <c r="M4" s="564" t="s">
        <v>469</v>
      </c>
      <c r="N4" s="31" t="s">
        <v>186</v>
      </c>
      <c r="O4" s="95" t="s">
        <v>187</v>
      </c>
      <c r="P4" s="93" t="s">
        <v>163</v>
      </c>
      <c r="Q4" s="32" t="s">
        <v>164</v>
      </c>
      <c r="R4" s="32" t="s">
        <v>165</v>
      </c>
      <c r="S4" s="32" t="s">
        <v>166</v>
      </c>
      <c r="T4" s="32" t="s">
        <v>167</v>
      </c>
      <c r="U4" s="32" t="s">
        <v>168</v>
      </c>
      <c r="V4" s="32" t="s">
        <v>169</v>
      </c>
      <c r="W4" s="32" t="s">
        <v>170</v>
      </c>
      <c r="X4" s="32" t="s">
        <v>171</v>
      </c>
      <c r="Y4" s="32" t="s">
        <v>172</v>
      </c>
      <c r="Z4" s="32" t="s">
        <v>173</v>
      </c>
      <c r="AA4" s="32" t="s">
        <v>174</v>
      </c>
      <c r="AB4" s="32" t="s">
        <v>175</v>
      </c>
      <c r="AC4" s="32" t="s">
        <v>176</v>
      </c>
      <c r="AD4" s="32" t="s">
        <v>177</v>
      </c>
      <c r="AE4" s="32" t="s">
        <v>178</v>
      </c>
      <c r="AF4" s="32" t="s">
        <v>179</v>
      </c>
      <c r="AG4" s="32" t="s">
        <v>180</v>
      </c>
      <c r="AH4" s="32" t="s">
        <v>181</v>
      </c>
      <c r="AI4" s="32" t="s">
        <v>182</v>
      </c>
      <c r="AJ4" s="33" t="s">
        <v>183</v>
      </c>
      <c r="AK4" s="34" t="s">
        <v>190</v>
      </c>
    </row>
    <row r="5" spans="1:142" s="3" customFormat="1" ht="38.25" x14ac:dyDescent="0.2">
      <c r="A5" s="67">
        <v>1</v>
      </c>
      <c r="B5" s="74" t="s">
        <v>90</v>
      </c>
      <c r="C5" s="41" t="s">
        <v>229</v>
      </c>
      <c r="D5" s="92" t="s">
        <v>213</v>
      </c>
      <c r="E5" s="247">
        <v>42885</v>
      </c>
      <c r="F5" s="287" t="s">
        <v>7</v>
      </c>
      <c r="G5" s="288">
        <v>732</v>
      </c>
      <c r="H5" s="289"/>
      <c r="I5" s="201" t="s">
        <v>14</v>
      </c>
      <c r="J5" s="202" t="s">
        <v>238</v>
      </c>
      <c r="K5" s="454" t="s">
        <v>301</v>
      </c>
      <c r="L5" s="207">
        <v>2</v>
      </c>
      <c r="M5" s="606" t="s">
        <v>431</v>
      </c>
      <c r="N5" s="208"/>
      <c r="O5" s="209"/>
      <c r="P5" s="198">
        <v>1</v>
      </c>
      <c r="Q5" s="199"/>
      <c r="R5" s="199">
        <v>1</v>
      </c>
      <c r="S5" s="199">
        <v>1</v>
      </c>
      <c r="T5" s="199"/>
      <c r="U5" s="199"/>
      <c r="V5" s="199">
        <v>1</v>
      </c>
      <c r="W5" s="199">
        <v>1</v>
      </c>
      <c r="X5" s="199"/>
      <c r="Y5" s="199"/>
      <c r="Z5" s="199"/>
      <c r="AA5" s="199"/>
      <c r="AB5" s="199">
        <v>1</v>
      </c>
      <c r="AC5" s="199">
        <v>1</v>
      </c>
      <c r="AD5" s="199"/>
      <c r="AE5" s="199"/>
      <c r="AF5" s="199"/>
      <c r="AG5" s="199"/>
      <c r="AH5" s="199"/>
      <c r="AI5" s="199"/>
      <c r="AJ5" s="199"/>
      <c r="AK5" s="200" t="s">
        <v>269</v>
      </c>
    </row>
    <row r="6" spans="1:142" s="44" customFormat="1" ht="51" x14ac:dyDescent="0.2">
      <c r="A6" s="69">
        <v>2</v>
      </c>
      <c r="B6" s="5" t="s">
        <v>277</v>
      </c>
      <c r="C6" s="73" t="s">
        <v>276</v>
      </c>
      <c r="D6" s="242" t="s">
        <v>213</v>
      </c>
      <c r="E6" s="450">
        <v>42885</v>
      </c>
      <c r="F6" s="251" t="s">
        <v>7</v>
      </c>
      <c r="G6" s="252">
        <v>184</v>
      </c>
      <c r="H6" s="253"/>
      <c r="I6" s="357" t="s">
        <v>8</v>
      </c>
      <c r="J6" s="71" t="s">
        <v>266</v>
      </c>
      <c r="K6" s="451"/>
      <c r="L6" s="379">
        <v>11</v>
      </c>
      <c r="M6" s="323"/>
      <c r="N6" s="10"/>
      <c r="O6" s="451"/>
      <c r="P6" s="452">
        <v>0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/>
      <c r="W6" s="10"/>
      <c r="X6" s="10"/>
      <c r="Y6" s="10"/>
      <c r="Z6" s="10">
        <v>1</v>
      </c>
      <c r="AA6" s="10"/>
      <c r="AB6" s="10">
        <v>2</v>
      </c>
      <c r="AC6" s="10">
        <v>1</v>
      </c>
      <c r="AD6" s="10">
        <v>2</v>
      </c>
      <c r="AE6" s="10"/>
      <c r="AF6" s="10">
        <v>1</v>
      </c>
      <c r="AG6" s="10"/>
      <c r="AH6" s="10"/>
      <c r="AI6" s="10"/>
      <c r="AJ6" s="10"/>
      <c r="AK6" s="453" t="s">
        <v>294</v>
      </c>
    </row>
    <row r="7" spans="1:142" s="3" customFormat="1" ht="102" x14ac:dyDescent="0.2">
      <c r="A7" s="67">
        <v>3</v>
      </c>
      <c r="B7" s="74" t="s">
        <v>82</v>
      </c>
      <c r="C7" s="41" t="s">
        <v>270</v>
      </c>
      <c r="D7" s="92" t="s">
        <v>213</v>
      </c>
      <c r="E7" s="98">
        <v>42885</v>
      </c>
      <c r="F7" s="226" t="s">
        <v>7</v>
      </c>
      <c r="G7" s="227">
        <v>185</v>
      </c>
      <c r="H7" s="228"/>
      <c r="I7" s="203" t="s">
        <v>8</v>
      </c>
      <c r="J7" s="13" t="s">
        <v>267</v>
      </c>
      <c r="K7" s="29"/>
      <c r="L7" s="26">
        <v>20</v>
      </c>
      <c r="M7" s="275"/>
      <c r="N7" s="8"/>
      <c r="O7" s="29"/>
      <c r="P7" s="27">
        <v>2</v>
      </c>
      <c r="Q7" s="8">
        <v>0</v>
      </c>
      <c r="R7" s="8">
        <v>1</v>
      </c>
      <c r="S7" s="8">
        <v>1</v>
      </c>
      <c r="T7" s="8"/>
      <c r="U7" s="8">
        <v>0</v>
      </c>
      <c r="V7" s="8">
        <v>1</v>
      </c>
      <c r="W7" s="8">
        <v>1</v>
      </c>
      <c r="X7" s="8"/>
      <c r="Y7" s="8"/>
      <c r="Z7" s="8">
        <v>1</v>
      </c>
      <c r="AA7" s="8">
        <v>1</v>
      </c>
      <c r="AB7" s="8"/>
      <c r="AC7" s="8">
        <v>1</v>
      </c>
      <c r="AD7" s="8"/>
      <c r="AE7" s="8"/>
      <c r="AF7" s="8">
        <v>2</v>
      </c>
      <c r="AG7" s="8"/>
      <c r="AH7" s="8"/>
      <c r="AI7" s="8"/>
      <c r="AJ7" s="8"/>
      <c r="AK7" s="448" t="s">
        <v>295</v>
      </c>
    </row>
    <row r="8" spans="1:142" s="44" customFormat="1" ht="25.5" x14ac:dyDescent="0.2">
      <c r="A8" s="69">
        <v>4</v>
      </c>
      <c r="B8" s="80" t="s">
        <v>77</v>
      </c>
      <c r="C8" s="73" t="s">
        <v>249</v>
      </c>
      <c r="D8" s="242" t="s">
        <v>213</v>
      </c>
      <c r="E8" s="450">
        <v>42885</v>
      </c>
      <c r="F8" s="251" t="s">
        <v>7</v>
      </c>
      <c r="G8" s="262" t="s">
        <v>251</v>
      </c>
      <c r="H8" s="253"/>
      <c r="I8" s="357" t="s">
        <v>8</v>
      </c>
      <c r="J8" s="76">
        <v>1019</v>
      </c>
      <c r="K8" s="451"/>
      <c r="L8" s="379">
        <v>8</v>
      </c>
      <c r="M8" s="323"/>
      <c r="N8" s="10"/>
      <c r="O8" s="451"/>
      <c r="P8" s="452"/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/>
      <c r="W8" s="10"/>
      <c r="X8" s="10"/>
      <c r="Y8" s="10"/>
      <c r="Z8" s="10"/>
      <c r="AA8" s="10"/>
      <c r="AB8" s="10">
        <v>1</v>
      </c>
      <c r="AC8" s="10">
        <v>1</v>
      </c>
      <c r="AD8" s="10"/>
      <c r="AE8" s="10"/>
      <c r="AF8" s="10"/>
      <c r="AG8" s="10"/>
      <c r="AH8" s="10"/>
      <c r="AI8" s="10"/>
      <c r="AJ8" s="10"/>
      <c r="AK8" s="453" t="s">
        <v>296</v>
      </c>
    </row>
    <row r="9" spans="1:142" s="3" customFormat="1" ht="51" x14ac:dyDescent="0.2">
      <c r="A9" s="122">
        <v>5</v>
      </c>
      <c r="B9" s="167" t="s">
        <v>279</v>
      </c>
      <c r="C9" s="285" t="s">
        <v>245</v>
      </c>
      <c r="D9" s="125" t="s">
        <v>215</v>
      </c>
      <c r="E9" s="98">
        <v>42885</v>
      </c>
      <c r="F9" s="263" t="s">
        <v>8</v>
      </c>
      <c r="G9" s="263" t="s">
        <v>278</v>
      </c>
      <c r="H9" s="269"/>
      <c r="I9" s="170" t="s">
        <v>8</v>
      </c>
      <c r="J9" s="171">
        <v>1331</v>
      </c>
      <c r="K9" s="172" t="s">
        <v>302</v>
      </c>
      <c r="L9" s="210"/>
      <c r="M9" s="607"/>
      <c r="N9" s="173"/>
      <c r="O9" s="174"/>
      <c r="P9" s="175">
        <v>6</v>
      </c>
      <c r="Q9" s="173"/>
      <c r="R9" s="173">
        <v>6</v>
      </c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>
        <v>1</v>
      </c>
      <c r="AK9" s="178" t="s">
        <v>297</v>
      </c>
    </row>
    <row r="10" spans="1:142" s="3" customFormat="1" ht="31.5" x14ac:dyDescent="0.2">
      <c r="A10" s="107">
        <v>6</v>
      </c>
      <c r="B10" s="123" t="s">
        <v>280</v>
      </c>
      <c r="C10" s="286" t="s">
        <v>245</v>
      </c>
      <c r="D10" s="125" t="s">
        <v>215</v>
      </c>
      <c r="E10" s="268">
        <v>42885</v>
      </c>
      <c r="F10" s="220" t="s">
        <v>8</v>
      </c>
      <c r="G10" s="220" t="s">
        <v>278</v>
      </c>
      <c r="H10" s="269"/>
      <c r="I10" s="170" t="s">
        <v>8</v>
      </c>
      <c r="J10" s="171" t="s">
        <v>281</v>
      </c>
      <c r="K10" s="174"/>
      <c r="L10" s="210"/>
      <c r="M10" s="607"/>
      <c r="N10" s="173"/>
      <c r="O10" s="174"/>
      <c r="P10" s="175">
        <v>2</v>
      </c>
      <c r="Q10" s="173"/>
      <c r="R10" s="173">
        <v>2</v>
      </c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7" t="s">
        <v>298</v>
      </c>
    </row>
    <row r="11" spans="1:142" s="105" customFormat="1" ht="15.75" x14ac:dyDescent="0.2">
      <c r="A11" s="360">
        <v>7</v>
      </c>
      <c r="B11" s="136" t="s">
        <v>288</v>
      </c>
      <c r="C11" s="361"/>
      <c r="D11" s="362" t="s">
        <v>286</v>
      </c>
      <c r="E11" s="98">
        <v>42885</v>
      </c>
      <c r="F11" s="363"/>
      <c r="G11" s="364">
        <v>1331</v>
      </c>
      <c r="H11" s="365" t="s">
        <v>287</v>
      </c>
      <c r="I11" s="143"/>
      <c r="J11" s="366">
        <v>1335</v>
      </c>
      <c r="K11" s="367"/>
      <c r="L11" s="368"/>
      <c r="M11" s="608"/>
      <c r="N11" s="369"/>
      <c r="O11" s="367"/>
      <c r="P11" s="370">
        <v>1</v>
      </c>
      <c r="Q11" s="369"/>
      <c r="R11" s="369">
        <v>1</v>
      </c>
      <c r="S11" s="369"/>
      <c r="T11" s="369"/>
      <c r="U11" s="369"/>
      <c r="V11" s="369"/>
      <c r="W11" s="369"/>
      <c r="X11" s="369"/>
      <c r="Y11" s="369"/>
      <c r="Z11" s="369"/>
      <c r="AA11" s="369"/>
      <c r="AB11" s="369"/>
      <c r="AC11" s="369"/>
      <c r="AD11" s="369"/>
      <c r="AE11" s="369"/>
      <c r="AF11" s="369"/>
      <c r="AG11" s="369"/>
      <c r="AH11" s="369"/>
      <c r="AI11" s="369"/>
      <c r="AJ11" s="369"/>
      <c r="AK11" s="371" t="s">
        <v>298</v>
      </c>
    </row>
    <row r="12" spans="1:142" s="105" customFormat="1" ht="15.75" x14ac:dyDescent="0.2">
      <c r="A12" s="372">
        <v>8</v>
      </c>
      <c r="B12" s="136" t="s">
        <v>289</v>
      </c>
      <c r="C12" s="361"/>
      <c r="D12" s="362" t="s">
        <v>286</v>
      </c>
      <c r="E12" s="268">
        <v>42885</v>
      </c>
      <c r="F12" s="363"/>
      <c r="G12" s="364">
        <v>1331</v>
      </c>
      <c r="H12" s="365" t="s">
        <v>287</v>
      </c>
      <c r="I12" s="143"/>
      <c r="J12" s="366">
        <v>1335</v>
      </c>
      <c r="K12" s="367"/>
      <c r="L12" s="368"/>
      <c r="M12" s="608"/>
      <c r="N12" s="369"/>
      <c r="O12" s="367"/>
      <c r="P12" s="370">
        <v>1</v>
      </c>
      <c r="Q12" s="369"/>
      <c r="R12" s="369">
        <v>1</v>
      </c>
      <c r="S12" s="369"/>
      <c r="T12" s="369"/>
      <c r="U12" s="369"/>
      <c r="V12" s="369"/>
      <c r="W12" s="369"/>
      <c r="X12" s="369"/>
      <c r="Y12" s="369"/>
      <c r="Z12" s="369"/>
      <c r="AA12" s="369"/>
      <c r="AB12" s="369"/>
      <c r="AC12" s="369"/>
      <c r="AD12" s="369"/>
      <c r="AE12" s="369"/>
      <c r="AF12" s="369"/>
      <c r="AG12" s="369"/>
      <c r="AH12" s="369"/>
      <c r="AI12" s="369"/>
      <c r="AJ12" s="369"/>
      <c r="AK12" s="449" t="s">
        <v>298</v>
      </c>
    </row>
    <row r="13" spans="1:142" s="44" customFormat="1" ht="15.75" x14ac:dyDescent="0.2">
      <c r="A13" s="122"/>
      <c r="B13" s="179"/>
      <c r="C13" s="180"/>
      <c r="D13" s="181"/>
      <c r="E13" s="111"/>
      <c r="F13" s="120"/>
      <c r="G13" s="120"/>
      <c r="H13" s="114"/>
      <c r="I13" s="182"/>
      <c r="J13" s="183"/>
      <c r="K13" s="100"/>
      <c r="L13" s="182"/>
      <c r="M13" s="119"/>
      <c r="N13" s="120"/>
      <c r="O13" s="184"/>
      <c r="P13" s="119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85"/>
    </row>
    <row r="14" spans="1:142" s="70" customFormat="1" ht="15.75" x14ac:dyDescent="0.2">
      <c r="A14" s="107"/>
      <c r="B14" s="167"/>
      <c r="C14" s="186"/>
      <c r="D14" s="187"/>
      <c r="E14" s="111"/>
      <c r="F14" s="263"/>
      <c r="G14" s="263"/>
      <c r="H14" s="270"/>
      <c r="I14" s="130"/>
      <c r="J14" s="188"/>
      <c r="K14" s="189"/>
      <c r="L14" s="130"/>
      <c r="M14" s="267"/>
      <c r="N14" s="134"/>
      <c r="O14" s="190"/>
      <c r="P14" s="133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91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</row>
    <row r="15" spans="1:142" s="3" customFormat="1" ht="15.75" x14ac:dyDescent="0.2">
      <c r="A15" s="122"/>
      <c r="B15" s="167"/>
      <c r="C15" s="124"/>
      <c r="D15" s="125"/>
      <c r="E15" s="111"/>
      <c r="F15" s="220"/>
      <c r="G15" s="220"/>
      <c r="H15" s="269"/>
      <c r="I15" s="170"/>
      <c r="J15" s="192"/>
      <c r="K15" s="101"/>
      <c r="L15" s="210"/>
      <c r="M15" s="607"/>
      <c r="N15" s="173"/>
      <c r="O15" s="174"/>
      <c r="P15" s="175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93"/>
    </row>
    <row r="16" spans="1:142" s="3" customFormat="1" ht="15.75" x14ac:dyDescent="0.2">
      <c r="A16" s="107"/>
      <c r="B16" s="123"/>
      <c r="C16" s="124"/>
      <c r="D16" s="125"/>
      <c r="E16" s="126"/>
      <c r="F16" s="220"/>
      <c r="G16" s="220"/>
      <c r="H16" s="269"/>
      <c r="I16" s="170"/>
      <c r="J16" s="192"/>
      <c r="K16" s="101"/>
      <c r="L16" s="130"/>
      <c r="M16" s="267"/>
      <c r="N16" s="152"/>
      <c r="O16" s="194"/>
      <c r="P16" s="195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96"/>
    </row>
    <row r="17" spans="1:142" s="70" customFormat="1" ht="15.75" x14ac:dyDescent="0.2">
      <c r="A17" s="122"/>
      <c r="B17" s="167"/>
      <c r="C17" s="186"/>
      <c r="D17" s="187"/>
      <c r="E17" s="126"/>
      <c r="F17" s="263"/>
      <c r="G17" s="263"/>
      <c r="H17" s="270"/>
      <c r="I17" s="130"/>
      <c r="J17" s="188"/>
      <c r="K17" s="102"/>
      <c r="L17" s="130"/>
      <c r="M17" s="267"/>
      <c r="N17" s="134"/>
      <c r="O17" s="132"/>
      <c r="P17" s="133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91"/>
    </row>
    <row r="18" spans="1:142" s="70" customFormat="1" ht="16.5" thickBot="1" x14ac:dyDescent="0.25">
      <c r="A18" s="107"/>
      <c r="B18" s="167"/>
      <c r="C18" s="186"/>
      <c r="D18" s="187"/>
      <c r="E18" s="271"/>
      <c r="F18" s="211"/>
      <c r="G18" s="211"/>
      <c r="H18" s="272"/>
      <c r="I18" s="204"/>
      <c r="J18" s="205"/>
      <c r="K18" s="206"/>
      <c r="L18" s="204"/>
      <c r="M18" s="561"/>
      <c r="N18" s="211"/>
      <c r="O18" s="212"/>
      <c r="P18" s="133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97"/>
    </row>
    <row r="19" spans="1:142" x14ac:dyDescent="0.2">
      <c r="B19" s="17"/>
      <c r="C19" s="17"/>
      <c r="O19" s="2" t="s">
        <v>191</v>
      </c>
      <c r="P19" s="42">
        <f t="shared" ref="P19:AJ19" si="0">SUM(P5:P18)</f>
        <v>13</v>
      </c>
      <c r="Q19" s="42">
        <f t="shared" si="0"/>
        <v>2</v>
      </c>
      <c r="R19" s="42">
        <f t="shared" si="0"/>
        <v>14</v>
      </c>
      <c r="S19" s="42">
        <f t="shared" si="0"/>
        <v>4</v>
      </c>
      <c r="T19" s="42">
        <f t="shared" si="0"/>
        <v>2</v>
      </c>
      <c r="U19" s="42">
        <f t="shared" si="0"/>
        <v>2</v>
      </c>
      <c r="V19" s="42">
        <f t="shared" si="0"/>
        <v>2</v>
      </c>
      <c r="W19" s="42">
        <f t="shared" si="0"/>
        <v>2</v>
      </c>
      <c r="X19" s="42">
        <f t="shared" si="0"/>
        <v>0</v>
      </c>
      <c r="Y19" s="42">
        <f t="shared" si="0"/>
        <v>0</v>
      </c>
      <c r="Z19" s="42">
        <f t="shared" si="0"/>
        <v>2</v>
      </c>
      <c r="AA19" s="42">
        <f t="shared" si="0"/>
        <v>1</v>
      </c>
      <c r="AB19" s="42">
        <f t="shared" si="0"/>
        <v>4</v>
      </c>
      <c r="AC19" s="42">
        <f t="shared" si="0"/>
        <v>4</v>
      </c>
      <c r="AD19" s="42">
        <f t="shared" si="0"/>
        <v>2</v>
      </c>
      <c r="AE19" s="42">
        <f t="shared" si="0"/>
        <v>0</v>
      </c>
      <c r="AF19" s="42">
        <f t="shared" si="0"/>
        <v>3</v>
      </c>
      <c r="AG19" s="42">
        <f t="shared" si="0"/>
        <v>0</v>
      </c>
      <c r="AH19" s="42">
        <f t="shared" si="0"/>
        <v>0</v>
      </c>
      <c r="AI19" s="42">
        <f t="shared" si="0"/>
        <v>0</v>
      </c>
      <c r="AJ19" s="42">
        <f t="shared" si="0"/>
        <v>1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</row>
  </sheetData>
  <mergeCells count="6">
    <mergeCell ref="A1:AK1"/>
    <mergeCell ref="A2:AK2"/>
    <mergeCell ref="E3:H3"/>
    <mergeCell ref="I3:K3"/>
    <mergeCell ref="L3:O3"/>
    <mergeCell ref="P3:AK3"/>
  </mergeCells>
  <conditionalFormatting sqref="K14:AJ14">
    <cfRule type="cellIs" dxfId="410" priority="4" stopIfTrue="1" operator="equal">
      <formula>"neu"</formula>
    </cfRule>
  </conditionalFormatting>
  <conditionalFormatting sqref="K15">
    <cfRule type="cellIs" dxfId="409" priority="3" stopIfTrue="1" operator="equal">
      <formula>"neu"</formula>
    </cfRule>
  </conditionalFormatting>
  <conditionalFormatting sqref="K16">
    <cfRule type="cellIs" dxfId="408" priority="2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EK12"/>
  <sheetViews>
    <sheetView showGridLines="0" zoomScale="80" zoomScaleNormal="80" zoomScaleSheetLayoutView="84" workbookViewId="0">
      <pane ySplit="4" topLeftCell="A5" activePane="bottomLeft" state="frozen"/>
      <selection pane="bottomLeft" activeCell="D28" sqref="D28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141" ht="30.75" customHeight="1" thickBot="1" x14ac:dyDescent="0.25">
      <c r="A1" s="629" t="s">
        <v>272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1"/>
      <c r="AJ1" s="632"/>
    </row>
    <row r="2" spans="1:141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5"/>
      <c r="AJ2" s="636"/>
    </row>
    <row r="3" spans="1:141" ht="13.5" thickBot="1" x14ac:dyDescent="0.25">
      <c r="A3" s="37"/>
      <c r="B3" s="35"/>
      <c r="C3" s="39"/>
      <c r="D3" s="90"/>
      <c r="E3" s="637" t="s">
        <v>5</v>
      </c>
      <c r="F3" s="638"/>
      <c r="G3" s="638"/>
      <c r="H3" s="639"/>
      <c r="I3" s="640" t="s">
        <v>11</v>
      </c>
      <c r="J3" s="640"/>
      <c r="K3" s="640"/>
      <c r="L3" s="641" t="s">
        <v>237</v>
      </c>
      <c r="M3" s="640"/>
      <c r="N3" s="642"/>
      <c r="O3" s="640" t="s">
        <v>189</v>
      </c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2"/>
    </row>
    <row r="4" spans="1:141" s="3" customFormat="1" ht="141.75" customHeight="1" thickBot="1" x14ac:dyDescent="0.25">
      <c r="A4" s="20" t="s">
        <v>0</v>
      </c>
      <c r="B4" s="36" t="s">
        <v>1</v>
      </c>
      <c r="C4" s="21" t="s">
        <v>184</v>
      </c>
      <c r="D4" s="91" t="s">
        <v>6</v>
      </c>
      <c r="E4" s="20" t="s">
        <v>2</v>
      </c>
      <c r="F4" s="55" t="s">
        <v>3</v>
      </c>
      <c r="G4" s="61" t="s">
        <v>235</v>
      </c>
      <c r="H4" s="11" t="s">
        <v>10</v>
      </c>
      <c r="I4" s="23" t="s">
        <v>12</v>
      </c>
      <c r="J4" s="96" t="s">
        <v>236</v>
      </c>
      <c r="K4" s="97" t="s">
        <v>240</v>
      </c>
      <c r="L4" s="94" t="s">
        <v>185</v>
      </c>
      <c r="M4" s="31" t="s">
        <v>186</v>
      </c>
      <c r="N4" s="95" t="s">
        <v>187</v>
      </c>
      <c r="O4" s="93" t="s">
        <v>163</v>
      </c>
      <c r="P4" s="32" t="s">
        <v>164</v>
      </c>
      <c r="Q4" s="32" t="s">
        <v>165</v>
      </c>
      <c r="R4" s="32" t="s">
        <v>166</v>
      </c>
      <c r="S4" s="32" t="s">
        <v>167</v>
      </c>
      <c r="T4" s="32" t="s">
        <v>168</v>
      </c>
      <c r="U4" s="32" t="s">
        <v>169</v>
      </c>
      <c r="V4" s="32" t="s">
        <v>170</v>
      </c>
      <c r="W4" s="32" t="s">
        <v>171</v>
      </c>
      <c r="X4" s="32" t="s">
        <v>172</v>
      </c>
      <c r="Y4" s="32" t="s">
        <v>173</v>
      </c>
      <c r="Z4" s="32" t="s">
        <v>174</v>
      </c>
      <c r="AA4" s="32" t="s">
        <v>175</v>
      </c>
      <c r="AB4" s="32" t="s">
        <v>176</v>
      </c>
      <c r="AC4" s="32" t="s">
        <v>177</v>
      </c>
      <c r="AD4" s="32" t="s">
        <v>178</v>
      </c>
      <c r="AE4" s="32" t="s">
        <v>179</v>
      </c>
      <c r="AF4" s="32" t="s">
        <v>180</v>
      </c>
      <c r="AG4" s="32" t="s">
        <v>181</v>
      </c>
      <c r="AH4" s="32" t="s">
        <v>182</v>
      </c>
      <c r="AI4" s="33" t="s">
        <v>183</v>
      </c>
      <c r="AJ4" s="34" t="s">
        <v>190</v>
      </c>
    </row>
    <row r="5" spans="1:141" s="3" customFormat="1" ht="15.75" x14ac:dyDescent="0.2">
      <c r="A5" s="107"/>
      <c r="B5" s="123"/>
      <c r="C5" s="124"/>
      <c r="D5" s="125"/>
      <c r="E5" s="126"/>
      <c r="F5" s="152"/>
      <c r="G5" s="152"/>
      <c r="H5" s="169"/>
      <c r="I5" s="170"/>
      <c r="J5" s="171"/>
      <c r="K5" s="174"/>
      <c r="L5" s="164"/>
      <c r="M5" s="173"/>
      <c r="N5" s="174"/>
      <c r="O5" s="175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8"/>
    </row>
    <row r="6" spans="1:141" s="44" customFormat="1" ht="15.75" x14ac:dyDescent="0.2">
      <c r="A6" s="122"/>
      <c r="B6" s="179" t="s">
        <v>290</v>
      </c>
      <c r="C6" s="180"/>
      <c r="D6" s="181"/>
      <c r="E6" s="111"/>
      <c r="F6" s="120"/>
      <c r="G6" s="120"/>
      <c r="H6" s="114"/>
      <c r="I6" s="182"/>
      <c r="J6" s="183"/>
      <c r="K6" s="100"/>
      <c r="L6" s="119"/>
      <c r="M6" s="120"/>
      <c r="N6" s="184"/>
      <c r="O6" s="119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85"/>
    </row>
    <row r="7" spans="1:141" s="70" customFormat="1" ht="31.5" x14ac:dyDescent="0.2">
      <c r="A7" s="107"/>
      <c r="B7" s="167" t="s">
        <v>291</v>
      </c>
      <c r="C7" s="186"/>
      <c r="D7" s="187"/>
      <c r="E7" s="111"/>
      <c r="F7" s="134"/>
      <c r="G7" s="134"/>
      <c r="H7" s="129"/>
      <c r="I7" s="130"/>
      <c r="J7" s="188"/>
      <c r="K7" s="189"/>
      <c r="L7" s="133"/>
      <c r="M7" s="134"/>
      <c r="N7" s="190"/>
      <c r="O7" s="133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91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</row>
    <row r="8" spans="1:141" s="3" customFormat="1" ht="15.75" x14ac:dyDescent="0.2">
      <c r="A8" s="122"/>
      <c r="B8" s="167"/>
      <c r="C8" s="124"/>
      <c r="D8" s="125"/>
      <c r="E8" s="111"/>
      <c r="F8" s="152"/>
      <c r="G8" s="152"/>
      <c r="H8" s="169"/>
      <c r="I8" s="170"/>
      <c r="J8" s="192"/>
      <c r="K8" s="101"/>
      <c r="L8" s="164"/>
      <c r="M8" s="173"/>
      <c r="N8" s="174"/>
      <c r="O8" s="175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93"/>
    </row>
    <row r="9" spans="1:141" s="3" customFormat="1" ht="15.75" x14ac:dyDescent="0.2">
      <c r="A9" s="107"/>
      <c r="B9" s="123"/>
      <c r="C9" s="124"/>
      <c r="D9" s="125"/>
      <c r="E9" s="126"/>
      <c r="F9" s="152"/>
      <c r="G9" s="152"/>
      <c r="H9" s="169"/>
      <c r="I9" s="170"/>
      <c r="J9" s="192"/>
      <c r="K9" s="101"/>
      <c r="L9" s="133"/>
      <c r="M9" s="152"/>
      <c r="N9" s="194"/>
      <c r="O9" s="195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96"/>
    </row>
    <row r="10" spans="1:141" s="70" customFormat="1" ht="15.75" x14ac:dyDescent="0.2">
      <c r="A10" s="122"/>
      <c r="B10" s="167"/>
      <c r="C10" s="186"/>
      <c r="D10" s="187"/>
      <c r="E10" s="126"/>
      <c r="F10" s="134"/>
      <c r="G10" s="134"/>
      <c r="H10" s="129"/>
      <c r="I10" s="130"/>
      <c r="J10" s="188"/>
      <c r="K10" s="102"/>
      <c r="L10" s="133"/>
      <c r="M10" s="134"/>
      <c r="N10" s="132"/>
      <c r="O10" s="133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91"/>
    </row>
    <row r="11" spans="1:141" s="70" customFormat="1" ht="15.75" x14ac:dyDescent="0.2">
      <c r="A11" s="107"/>
      <c r="B11" s="167"/>
      <c r="C11" s="186"/>
      <c r="D11" s="187"/>
      <c r="E11" s="126"/>
      <c r="F11" s="134"/>
      <c r="G11" s="134"/>
      <c r="H11" s="129"/>
      <c r="I11" s="130"/>
      <c r="J11" s="188"/>
      <c r="K11" s="103"/>
      <c r="L11" s="133"/>
      <c r="M11" s="134"/>
      <c r="N11" s="132"/>
      <c r="O11" s="133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97"/>
    </row>
    <row r="12" spans="1:141" x14ac:dyDescent="0.2">
      <c r="B12" s="17"/>
      <c r="C12" s="17"/>
      <c r="N12" s="2" t="s">
        <v>191</v>
      </c>
      <c r="O12" s="42">
        <f t="shared" ref="O12:AI12" si="0">SUM(O5:O11)</f>
        <v>0</v>
      </c>
      <c r="P12" s="42">
        <f t="shared" si="0"/>
        <v>0</v>
      </c>
      <c r="Q12" s="42">
        <f t="shared" si="0"/>
        <v>0</v>
      </c>
      <c r="R12" s="42">
        <f t="shared" si="0"/>
        <v>0</v>
      </c>
      <c r="S12" s="42">
        <f t="shared" si="0"/>
        <v>0</v>
      </c>
      <c r="T12" s="42">
        <f t="shared" si="0"/>
        <v>0</v>
      </c>
      <c r="U12" s="42">
        <f t="shared" si="0"/>
        <v>0</v>
      </c>
      <c r="V12" s="42">
        <f t="shared" si="0"/>
        <v>0</v>
      </c>
      <c r="W12" s="42">
        <f t="shared" si="0"/>
        <v>0</v>
      </c>
      <c r="X12" s="42">
        <f t="shared" si="0"/>
        <v>0</v>
      </c>
      <c r="Y12" s="42">
        <f t="shared" si="0"/>
        <v>0</v>
      </c>
      <c r="Z12" s="42">
        <f t="shared" si="0"/>
        <v>0</v>
      </c>
      <c r="AA12" s="42">
        <f t="shared" si="0"/>
        <v>0</v>
      </c>
      <c r="AB12" s="42">
        <f t="shared" si="0"/>
        <v>0</v>
      </c>
      <c r="AC12" s="42">
        <f t="shared" si="0"/>
        <v>0</v>
      </c>
      <c r="AD12" s="42">
        <f t="shared" si="0"/>
        <v>0</v>
      </c>
      <c r="AE12" s="42">
        <f t="shared" si="0"/>
        <v>0</v>
      </c>
      <c r="AF12" s="42">
        <f t="shared" si="0"/>
        <v>0</v>
      </c>
      <c r="AG12" s="42">
        <f t="shared" si="0"/>
        <v>0</v>
      </c>
      <c r="AH12" s="42">
        <f t="shared" si="0"/>
        <v>0</v>
      </c>
      <c r="AI12" s="42">
        <f t="shared" si="0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</sheetData>
  <mergeCells count="6">
    <mergeCell ref="A1:AJ1"/>
    <mergeCell ref="A2:AJ2"/>
    <mergeCell ref="E3:H3"/>
    <mergeCell ref="I3:K3"/>
    <mergeCell ref="L3:N3"/>
    <mergeCell ref="O3:AJ3"/>
  </mergeCells>
  <conditionalFormatting sqref="K7:AI7">
    <cfRule type="cellIs" dxfId="366" priority="4" stopIfTrue="1" operator="equal">
      <formula>"neu"</formula>
    </cfRule>
  </conditionalFormatting>
  <conditionalFormatting sqref="K8">
    <cfRule type="cellIs" dxfId="365" priority="3" stopIfTrue="1" operator="equal">
      <formula>"neu"</formula>
    </cfRule>
  </conditionalFormatting>
  <conditionalFormatting sqref="K9">
    <cfRule type="cellIs" dxfId="364" priority="2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L27"/>
  <sheetViews>
    <sheetView showGridLines="0" zoomScale="80" zoomScaleNormal="80" zoomScaleSheetLayoutView="84" workbookViewId="0">
      <pane ySplit="4" topLeftCell="A5" activePane="bottomLeft" state="frozen"/>
      <selection pane="bottomLeft" activeCell="H21" sqref="H21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7.42578125" style="2" customWidth="1"/>
    <col min="12" max="15" width="9.140625" style="2" customWidth="1"/>
    <col min="16" max="36" width="4.7109375" style="2" customWidth="1"/>
    <col min="37" max="37" width="52.5703125" style="2" customWidth="1"/>
    <col min="38" max="142" width="11.42578125" style="3"/>
    <col min="143" max="16384" width="11.42578125" style="1"/>
  </cols>
  <sheetData>
    <row r="1" spans="1:39" ht="30.75" customHeight="1" thickBot="1" x14ac:dyDescent="0.25">
      <c r="A1" s="629" t="s">
        <v>272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1"/>
      <c r="AK1" s="632"/>
    </row>
    <row r="2" spans="1:39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5"/>
      <c r="AK2" s="636"/>
    </row>
    <row r="3" spans="1:39" ht="13.5" thickBot="1" x14ac:dyDescent="0.25">
      <c r="A3" s="37"/>
      <c r="B3" s="35"/>
      <c r="C3" s="39"/>
      <c r="D3" s="90"/>
      <c r="E3" s="637" t="s">
        <v>5</v>
      </c>
      <c r="F3" s="638"/>
      <c r="G3" s="638"/>
      <c r="H3" s="639"/>
      <c r="I3" s="640" t="s">
        <v>11</v>
      </c>
      <c r="J3" s="640"/>
      <c r="K3" s="640"/>
      <c r="L3" s="641" t="s">
        <v>237</v>
      </c>
      <c r="M3" s="640"/>
      <c r="N3" s="640"/>
      <c r="O3" s="642"/>
      <c r="P3" s="640" t="s">
        <v>189</v>
      </c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2"/>
    </row>
    <row r="4" spans="1:39" s="3" customFormat="1" ht="141.75" customHeight="1" thickBot="1" x14ac:dyDescent="0.25">
      <c r="A4" s="20" t="s">
        <v>0</v>
      </c>
      <c r="B4" s="36" t="s">
        <v>1</v>
      </c>
      <c r="C4" s="21" t="s">
        <v>184</v>
      </c>
      <c r="D4" s="91" t="s">
        <v>6</v>
      </c>
      <c r="E4" s="479" t="s">
        <v>2</v>
      </c>
      <c r="F4" s="480" t="s">
        <v>3</v>
      </c>
      <c r="G4" s="283" t="s">
        <v>235</v>
      </c>
      <c r="H4" s="11" t="s">
        <v>10</v>
      </c>
      <c r="I4" s="23" t="s">
        <v>12</v>
      </c>
      <c r="J4" s="96" t="s">
        <v>236</v>
      </c>
      <c r="K4" s="97" t="s">
        <v>240</v>
      </c>
      <c r="L4" s="94" t="s">
        <v>185</v>
      </c>
      <c r="M4" s="564" t="s">
        <v>430</v>
      </c>
      <c r="N4" s="31" t="s">
        <v>186</v>
      </c>
      <c r="O4" s="95" t="s">
        <v>187</v>
      </c>
      <c r="P4" s="93" t="s">
        <v>163</v>
      </c>
      <c r="Q4" s="32" t="s">
        <v>164</v>
      </c>
      <c r="R4" s="32" t="s">
        <v>165</v>
      </c>
      <c r="S4" s="32" t="s">
        <v>166</v>
      </c>
      <c r="T4" s="32" t="s">
        <v>167</v>
      </c>
      <c r="U4" s="32" t="s">
        <v>168</v>
      </c>
      <c r="V4" s="32" t="s">
        <v>169</v>
      </c>
      <c r="W4" s="32" t="s">
        <v>170</v>
      </c>
      <c r="X4" s="32" t="s">
        <v>171</v>
      </c>
      <c r="Y4" s="32" t="s">
        <v>172</v>
      </c>
      <c r="Z4" s="32" t="s">
        <v>173</v>
      </c>
      <c r="AA4" s="32" t="s">
        <v>174</v>
      </c>
      <c r="AB4" s="32" t="s">
        <v>175</v>
      </c>
      <c r="AC4" s="32" t="s">
        <v>176</v>
      </c>
      <c r="AD4" s="32" t="s">
        <v>177</v>
      </c>
      <c r="AE4" s="32" t="s">
        <v>178</v>
      </c>
      <c r="AF4" s="32" t="s">
        <v>179</v>
      </c>
      <c r="AG4" s="32" t="s">
        <v>180</v>
      </c>
      <c r="AH4" s="32" t="s">
        <v>181</v>
      </c>
      <c r="AI4" s="32" t="s">
        <v>182</v>
      </c>
      <c r="AJ4" s="33" t="s">
        <v>183</v>
      </c>
      <c r="AK4" s="34" t="s">
        <v>190</v>
      </c>
    </row>
    <row r="5" spans="1:39" s="3" customFormat="1" ht="15.75" x14ac:dyDescent="0.2">
      <c r="A5" s="69">
        <v>1</v>
      </c>
      <c r="B5" s="468" t="s">
        <v>30</v>
      </c>
      <c r="C5" s="464" t="s">
        <v>207</v>
      </c>
      <c r="D5" s="463" t="s">
        <v>35</v>
      </c>
      <c r="E5" s="459">
        <v>42898</v>
      </c>
      <c r="F5" s="477" t="s">
        <v>7</v>
      </c>
      <c r="G5" s="477">
        <v>704</v>
      </c>
      <c r="H5" s="478"/>
      <c r="I5" s="469" t="s">
        <v>7</v>
      </c>
      <c r="J5" s="470">
        <v>731</v>
      </c>
      <c r="K5" s="265" t="s">
        <v>239</v>
      </c>
      <c r="L5" s="516">
        <v>6</v>
      </c>
      <c r="M5" s="519"/>
      <c r="N5" s="517">
        <v>1</v>
      </c>
      <c r="O5" s="518"/>
      <c r="P5" s="519">
        <v>1</v>
      </c>
      <c r="Q5" s="517"/>
      <c r="R5" s="517">
        <v>1</v>
      </c>
      <c r="S5" s="517">
        <v>1</v>
      </c>
      <c r="T5" s="517"/>
      <c r="U5" s="517"/>
      <c r="V5" s="517">
        <v>1</v>
      </c>
      <c r="W5" s="517">
        <v>1</v>
      </c>
      <c r="X5" s="517"/>
      <c r="Y5" s="517">
        <v>1</v>
      </c>
      <c r="Z5" s="517"/>
      <c r="AA5" s="517">
        <v>1</v>
      </c>
      <c r="AB5" s="517">
        <v>2</v>
      </c>
      <c r="AC5" s="517"/>
      <c r="AD5" s="517">
        <v>3</v>
      </c>
      <c r="AE5" s="517">
        <v>1</v>
      </c>
      <c r="AF5" s="517"/>
      <c r="AG5" s="517"/>
      <c r="AH5" s="517">
        <v>1</v>
      </c>
      <c r="AI5" s="517"/>
      <c r="AJ5" s="517"/>
      <c r="AK5" s="520" t="s">
        <v>383</v>
      </c>
    </row>
    <row r="6" spans="1:39" s="44" customFormat="1" ht="51" x14ac:dyDescent="0.2">
      <c r="A6" s="67">
        <v>2</v>
      </c>
      <c r="B6" s="471" t="s">
        <v>241</v>
      </c>
      <c r="C6" s="30" t="s">
        <v>374</v>
      </c>
      <c r="D6" s="240" t="s">
        <v>35</v>
      </c>
      <c r="E6" s="98">
        <v>42898</v>
      </c>
      <c r="F6" s="238" t="s">
        <v>7</v>
      </c>
      <c r="G6" s="238" t="s">
        <v>34</v>
      </c>
      <c r="H6" s="485" t="s">
        <v>405</v>
      </c>
      <c r="I6" s="244" t="s">
        <v>7</v>
      </c>
      <c r="J6" s="71" t="s">
        <v>408</v>
      </c>
      <c r="K6" s="542" t="s">
        <v>409</v>
      </c>
      <c r="L6" s="357">
        <v>3</v>
      </c>
      <c r="M6" s="244"/>
      <c r="N6" s="238"/>
      <c r="O6" s="336"/>
      <c r="P6" s="489"/>
      <c r="Q6" s="487">
        <v>2</v>
      </c>
      <c r="R6" s="487">
        <v>1</v>
      </c>
      <c r="S6" s="487">
        <v>1</v>
      </c>
      <c r="T6" s="487">
        <v>1</v>
      </c>
      <c r="U6" s="487">
        <v>2</v>
      </c>
      <c r="V6" s="487"/>
      <c r="W6" s="487">
        <v>1</v>
      </c>
      <c r="X6" s="487"/>
      <c r="Y6" s="487"/>
      <c r="Z6" s="487"/>
      <c r="AA6" s="487"/>
      <c r="AB6" s="487">
        <v>1</v>
      </c>
      <c r="AC6" s="487"/>
      <c r="AD6" s="487"/>
      <c r="AE6" s="487"/>
      <c r="AF6" s="487"/>
      <c r="AG6" s="487"/>
      <c r="AH6" s="487">
        <v>1</v>
      </c>
      <c r="AI6" s="487"/>
      <c r="AJ6" s="487"/>
      <c r="AK6" s="453" t="s">
        <v>407</v>
      </c>
    </row>
    <row r="7" spans="1:39" s="3" customFormat="1" ht="15.75" x14ac:dyDescent="0.2">
      <c r="A7" s="67">
        <v>3</v>
      </c>
      <c r="B7" s="472" t="s">
        <v>83</v>
      </c>
      <c r="C7" s="41" t="s">
        <v>311</v>
      </c>
      <c r="D7" s="88" t="s">
        <v>213</v>
      </c>
      <c r="E7" s="459">
        <v>42898</v>
      </c>
      <c r="F7" s="473" t="s">
        <v>7</v>
      </c>
      <c r="G7" s="474" t="s">
        <v>34</v>
      </c>
      <c r="H7" s="475"/>
      <c r="I7" s="245" t="s">
        <v>14</v>
      </c>
      <c r="J7" s="13" t="s">
        <v>97</v>
      </c>
      <c r="K7" s="337" t="s">
        <v>385</v>
      </c>
      <c r="L7" s="501">
        <v>15</v>
      </c>
      <c r="M7" s="500" t="s">
        <v>431</v>
      </c>
      <c r="N7" s="502"/>
      <c r="O7" s="503"/>
      <c r="P7" s="500">
        <v>1</v>
      </c>
      <c r="Q7" s="502"/>
      <c r="R7" s="502">
        <v>1</v>
      </c>
      <c r="S7" s="502">
        <v>1</v>
      </c>
      <c r="T7" s="502">
        <v>1</v>
      </c>
      <c r="U7" s="502"/>
      <c r="V7" s="502"/>
      <c r="W7" s="502">
        <v>1</v>
      </c>
      <c r="X7" s="502"/>
      <c r="Y7" s="502">
        <v>1</v>
      </c>
      <c r="Z7" s="502">
        <v>2</v>
      </c>
      <c r="AA7" s="502"/>
      <c r="AB7" s="502">
        <v>1</v>
      </c>
      <c r="AC7" s="502"/>
      <c r="AD7" s="502">
        <v>2</v>
      </c>
      <c r="AE7" s="502">
        <v>1</v>
      </c>
      <c r="AF7" s="502"/>
      <c r="AG7" s="502"/>
      <c r="AH7" s="487">
        <v>1</v>
      </c>
      <c r="AI7" s="502"/>
      <c r="AJ7" s="502"/>
      <c r="AK7" s="504" t="s">
        <v>310</v>
      </c>
    </row>
    <row r="8" spans="1:39" s="44" customFormat="1" ht="25.5" x14ac:dyDescent="0.2">
      <c r="A8" s="69">
        <v>4</v>
      </c>
      <c r="B8" s="80" t="s">
        <v>101</v>
      </c>
      <c r="C8" s="51" t="s">
        <v>312</v>
      </c>
      <c r="D8" s="213" t="s">
        <v>213</v>
      </c>
      <c r="E8" s="98">
        <v>42898</v>
      </c>
      <c r="F8" s="251" t="s">
        <v>14</v>
      </c>
      <c r="G8" s="252" t="s">
        <v>97</v>
      </c>
      <c r="H8" s="253"/>
      <c r="I8" s="321" t="s">
        <v>14</v>
      </c>
      <c r="J8" s="534" t="s">
        <v>73</v>
      </c>
      <c r="K8" s="240" t="s">
        <v>385</v>
      </c>
      <c r="L8" s="357">
        <v>5</v>
      </c>
      <c r="M8" s="500" t="s">
        <v>431</v>
      </c>
      <c r="N8" s="238"/>
      <c r="O8" s="336"/>
      <c r="P8" s="244">
        <v>1</v>
      </c>
      <c r="Q8" s="9"/>
      <c r="R8" s="9">
        <v>1</v>
      </c>
      <c r="S8" s="9">
        <v>1</v>
      </c>
      <c r="T8" s="9"/>
      <c r="U8" s="9"/>
      <c r="V8" s="9">
        <v>1</v>
      </c>
      <c r="W8" s="9">
        <v>1</v>
      </c>
      <c r="X8" s="9"/>
      <c r="Y8" s="9">
        <v>1</v>
      </c>
      <c r="Z8" s="9"/>
      <c r="AA8" s="9">
        <v>1</v>
      </c>
      <c r="AB8" s="9">
        <v>1</v>
      </c>
      <c r="AC8" s="9"/>
      <c r="AD8" s="9">
        <v>2</v>
      </c>
      <c r="AE8" s="9"/>
      <c r="AF8" s="9"/>
      <c r="AG8" s="9"/>
      <c r="AH8" s="9"/>
      <c r="AI8" s="9"/>
      <c r="AJ8" s="9"/>
      <c r="AK8" s="453" t="s">
        <v>399</v>
      </c>
    </row>
    <row r="9" spans="1:39" s="3" customFormat="1" ht="15.75" x14ac:dyDescent="0.2">
      <c r="A9" s="67">
        <v>5</v>
      </c>
      <c r="B9" s="472" t="s">
        <v>80</v>
      </c>
      <c r="C9" s="41" t="s">
        <v>313</v>
      </c>
      <c r="D9" s="88" t="s">
        <v>213</v>
      </c>
      <c r="E9" s="459">
        <v>42898</v>
      </c>
      <c r="F9" s="473" t="s">
        <v>14</v>
      </c>
      <c r="G9" s="476" t="s">
        <v>73</v>
      </c>
      <c r="H9" s="475"/>
      <c r="I9" s="245" t="s">
        <v>14</v>
      </c>
      <c r="J9" s="13" t="s">
        <v>97</v>
      </c>
      <c r="K9" s="337" t="s">
        <v>386</v>
      </c>
      <c r="L9" s="511">
        <v>5</v>
      </c>
      <c r="M9" s="500" t="s">
        <v>431</v>
      </c>
      <c r="N9" s="314"/>
      <c r="O9" s="407"/>
      <c r="P9" s="500">
        <v>1</v>
      </c>
      <c r="Q9" s="502"/>
      <c r="R9" s="502">
        <v>1</v>
      </c>
      <c r="S9" s="502">
        <v>1</v>
      </c>
      <c r="T9" s="502"/>
      <c r="U9" s="502"/>
      <c r="V9" s="502">
        <v>1</v>
      </c>
      <c r="W9" s="502">
        <v>1</v>
      </c>
      <c r="X9" s="502"/>
      <c r="Y9" s="502">
        <v>1</v>
      </c>
      <c r="Z9" s="502"/>
      <c r="AA9" s="502"/>
      <c r="AB9" s="502">
        <v>1</v>
      </c>
      <c r="AC9" s="502"/>
      <c r="AD9" s="502">
        <v>1</v>
      </c>
      <c r="AE9" s="502">
        <v>1</v>
      </c>
      <c r="AF9" s="502">
        <v>1</v>
      </c>
      <c r="AG9" s="502">
        <v>1</v>
      </c>
      <c r="AH9" s="502"/>
      <c r="AI9" s="502"/>
      <c r="AJ9" s="502"/>
      <c r="AK9" s="68"/>
    </row>
    <row r="10" spans="1:39" s="44" customFormat="1" ht="15.75" x14ac:dyDescent="0.2">
      <c r="A10" s="69">
        <v>6</v>
      </c>
      <c r="B10" s="80" t="s">
        <v>96</v>
      </c>
      <c r="C10" s="51" t="s">
        <v>314</v>
      </c>
      <c r="D10" s="213" t="s">
        <v>213</v>
      </c>
      <c r="E10" s="98">
        <v>42898</v>
      </c>
      <c r="F10" s="251" t="s">
        <v>14</v>
      </c>
      <c r="G10" s="252" t="s">
        <v>97</v>
      </c>
      <c r="H10" s="253"/>
      <c r="I10" s="321" t="s">
        <v>14</v>
      </c>
      <c r="J10" s="534" t="s">
        <v>47</v>
      </c>
      <c r="K10" s="240" t="s">
        <v>385</v>
      </c>
      <c r="L10" s="99" t="s">
        <v>245</v>
      </c>
      <c r="M10" s="500" t="s">
        <v>431</v>
      </c>
      <c r="N10" s="324"/>
      <c r="O10" s="380"/>
      <c r="P10" s="522">
        <v>1</v>
      </c>
      <c r="Q10" s="533"/>
      <c r="R10" s="533">
        <v>1</v>
      </c>
      <c r="S10" s="533">
        <v>1</v>
      </c>
      <c r="T10" s="533"/>
      <c r="U10" s="533"/>
      <c r="V10" s="533">
        <v>1</v>
      </c>
      <c r="W10" s="533">
        <v>1</v>
      </c>
      <c r="X10" s="533"/>
      <c r="Y10" s="533"/>
      <c r="Z10" s="533"/>
      <c r="AA10" s="533">
        <v>2</v>
      </c>
      <c r="AB10" s="533">
        <v>1</v>
      </c>
      <c r="AC10" s="533"/>
      <c r="AD10" s="533"/>
      <c r="AE10" s="533"/>
      <c r="AF10" s="533">
        <v>1</v>
      </c>
      <c r="AG10" s="533"/>
      <c r="AH10" s="533"/>
      <c r="AI10" s="533"/>
      <c r="AJ10" s="533"/>
      <c r="AK10" s="77"/>
    </row>
    <row r="11" spans="1:39" s="3" customFormat="1" ht="15.75" x14ac:dyDescent="0.2">
      <c r="A11" s="67">
        <v>7</v>
      </c>
      <c r="B11" s="74" t="s">
        <v>124</v>
      </c>
      <c r="C11" s="45" t="s">
        <v>315</v>
      </c>
      <c r="D11" s="87" t="s">
        <v>215</v>
      </c>
      <c r="E11" s="459">
        <v>42898</v>
      </c>
      <c r="F11" s="226" t="s">
        <v>14</v>
      </c>
      <c r="G11" s="227" t="s">
        <v>47</v>
      </c>
      <c r="H11" s="228"/>
      <c r="I11" s="266" t="s">
        <v>14</v>
      </c>
      <c r="J11" s="441" t="s">
        <v>115</v>
      </c>
      <c r="K11" s="456" t="s">
        <v>304</v>
      </c>
      <c r="L11" s="511">
        <v>5</v>
      </c>
      <c r="M11" s="500" t="s">
        <v>431</v>
      </c>
      <c r="N11" s="276"/>
      <c r="O11" s="277"/>
      <c r="P11" s="509">
        <v>1</v>
      </c>
      <c r="Q11" s="447"/>
      <c r="R11" s="447">
        <v>1</v>
      </c>
      <c r="S11" s="447">
        <v>1</v>
      </c>
      <c r="T11" s="447"/>
      <c r="U11" s="447"/>
      <c r="V11" s="447">
        <v>1</v>
      </c>
      <c r="W11" s="447">
        <v>1</v>
      </c>
      <c r="X11" s="447"/>
      <c r="Y11" s="447"/>
      <c r="Z11" s="447"/>
      <c r="AA11" s="447">
        <v>1</v>
      </c>
      <c r="AB11" s="447">
        <v>1</v>
      </c>
      <c r="AC11" s="447"/>
      <c r="AD11" s="447"/>
      <c r="AE11" s="447"/>
      <c r="AF11" s="447"/>
      <c r="AG11" s="447"/>
      <c r="AH11" s="447"/>
      <c r="AI11" s="447"/>
      <c r="AJ11" s="447"/>
      <c r="AK11" s="510" t="s">
        <v>347</v>
      </c>
    </row>
    <row r="12" spans="1:39" s="3" customFormat="1" ht="15.75" x14ac:dyDescent="0.2">
      <c r="A12" s="67">
        <v>8</v>
      </c>
      <c r="B12" s="4" t="s">
        <v>117</v>
      </c>
      <c r="C12" s="45" t="s">
        <v>316</v>
      </c>
      <c r="D12" s="87" t="s">
        <v>215</v>
      </c>
      <c r="E12" s="98">
        <v>42898</v>
      </c>
      <c r="F12" s="231" t="s">
        <v>14</v>
      </c>
      <c r="G12" s="230" t="s">
        <v>115</v>
      </c>
      <c r="H12" s="229"/>
      <c r="I12" s="266" t="s">
        <v>14</v>
      </c>
      <c r="J12" s="441" t="s">
        <v>99</v>
      </c>
      <c r="K12" s="456" t="s">
        <v>304</v>
      </c>
      <c r="L12" s="203">
        <v>2</v>
      </c>
      <c r="M12" s="500" t="s">
        <v>431</v>
      </c>
      <c r="N12" s="314"/>
      <c r="O12" s="407"/>
      <c r="P12" s="245">
        <v>2</v>
      </c>
      <c r="Q12" s="6"/>
      <c r="R12" s="6">
        <v>2</v>
      </c>
      <c r="S12" s="6">
        <v>1</v>
      </c>
      <c r="T12" s="6">
        <v>1</v>
      </c>
      <c r="U12" s="6"/>
      <c r="V12" s="6"/>
      <c r="W12" s="6">
        <v>1</v>
      </c>
      <c r="X12" s="6"/>
      <c r="Y12" s="6"/>
      <c r="Z12" s="6">
        <v>1</v>
      </c>
      <c r="AA12" s="6"/>
      <c r="AB12" s="6">
        <v>1</v>
      </c>
      <c r="AC12" s="6"/>
      <c r="AD12" s="6"/>
      <c r="AE12" s="6"/>
      <c r="AF12" s="6"/>
      <c r="AG12" s="6"/>
      <c r="AH12" s="6"/>
      <c r="AI12" s="6"/>
      <c r="AJ12" s="6"/>
      <c r="AK12" s="68" t="s">
        <v>402</v>
      </c>
    </row>
    <row r="13" spans="1:39" ht="51" x14ac:dyDescent="0.2">
      <c r="A13" s="69">
        <v>9</v>
      </c>
      <c r="B13" s="74" t="s">
        <v>98</v>
      </c>
      <c r="C13" s="45" t="s">
        <v>317</v>
      </c>
      <c r="D13" s="92" t="s">
        <v>213</v>
      </c>
      <c r="E13" s="459">
        <v>42898</v>
      </c>
      <c r="F13" s="231" t="s">
        <v>14</v>
      </c>
      <c r="G13" s="230" t="s">
        <v>99</v>
      </c>
      <c r="H13" s="225"/>
      <c r="I13" s="223" t="s">
        <v>14</v>
      </c>
      <c r="J13" s="260" t="s">
        <v>51</v>
      </c>
      <c r="K13" s="337" t="s">
        <v>385</v>
      </c>
      <c r="L13" s="170">
        <v>25</v>
      </c>
      <c r="M13" s="500" t="s">
        <v>431</v>
      </c>
      <c r="N13" s="220"/>
      <c r="O13" s="221"/>
      <c r="P13" s="245">
        <v>1</v>
      </c>
      <c r="Q13" s="6"/>
      <c r="R13" s="6">
        <v>1</v>
      </c>
      <c r="S13" s="6">
        <v>1</v>
      </c>
      <c r="T13" s="6"/>
      <c r="U13" s="6"/>
      <c r="V13" s="6">
        <v>1</v>
      </c>
      <c r="W13" s="6">
        <v>1</v>
      </c>
      <c r="X13" s="6"/>
      <c r="Y13" s="6"/>
      <c r="Z13" s="6">
        <v>1</v>
      </c>
      <c r="AA13" s="6"/>
      <c r="AB13" s="6">
        <v>2</v>
      </c>
      <c r="AC13" s="6"/>
      <c r="AD13" s="6"/>
      <c r="AE13" s="6"/>
      <c r="AF13" s="6"/>
      <c r="AG13" s="6"/>
      <c r="AH13" s="6"/>
      <c r="AI13" s="6"/>
      <c r="AJ13" s="6"/>
      <c r="AK13" s="505" t="s">
        <v>340</v>
      </c>
    </row>
    <row r="14" spans="1:39" s="44" customFormat="1" ht="38.25" x14ac:dyDescent="0.2">
      <c r="A14" s="69">
        <v>10</v>
      </c>
      <c r="B14" s="471" t="s">
        <v>305</v>
      </c>
      <c r="C14" s="73" t="s">
        <v>318</v>
      </c>
      <c r="D14" s="535" t="s">
        <v>213</v>
      </c>
      <c r="E14" s="98">
        <v>42898</v>
      </c>
      <c r="F14" s="536" t="s">
        <v>14</v>
      </c>
      <c r="G14" s="537" t="s">
        <v>51</v>
      </c>
      <c r="H14" s="538" t="s">
        <v>376</v>
      </c>
      <c r="I14" s="244" t="s">
        <v>14</v>
      </c>
      <c r="J14" s="71" t="s">
        <v>49</v>
      </c>
      <c r="K14" s="538" t="s">
        <v>410</v>
      </c>
      <c r="L14" s="539" t="s">
        <v>245</v>
      </c>
      <c r="M14" s="500" t="s">
        <v>431</v>
      </c>
      <c r="N14" s="238"/>
      <c r="O14" s="336"/>
      <c r="P14" s="522"/>
      <c r="Q14" s="533">
        <v>1</v>
      </c>
      <c r="R14" s="533">
        <v>1</v>
      </c>
      <c r="S14" s="533"/>
      <c r="T14" s="533">
        <v>1</v>
      </c>
      <c r="U14" s="533">
        <v>1</v>
      </c>
      <c r="V14" s="533"/>
      <c r="W14" s="533">
        <v>1</v>
      </c>
      <c r="X14" s="533"/>
      <c r="Y14" s="533">
        <v>1</v>
      </c>
      <c r="Z14" s="533"/>
      <c r="AA14" s="533"/>
      <c r="AB14" s="533">
        <v>1</v>
      </c>
      <c r="AC14" s="533"/>
      <c r="AD14" s="533"/>
      <c r="AE14" s="533"/>
      <c r="AF14" s="533"/>
      <c r="AG14" s="533"/>
      <c r="AH14" s="533"/>
      <c r="AI14" s="533"/>
      <c r="AJ14" s="533"/>
      <c r="AK14" s="296" t="s">
        <v>341</v>
      </c>
    </row>
    <row r="15" spans="1:39" s="3" customFormat="1" ht="15.75" x14ac:dyDescent="0.2">
      <c r="A15" s="67">
        <v>11</v>
      </c>
      <c r="B15" s="74" t="s">
        <v>123</v>
      </c>
      <c r="C15" s="45" t="s">
        <v>319</v>
      </c>
      <c r="D15" s="87" t="s">
        <v>215</v>
      </c>
      <c r="E15" s="459">
        <v>42898</v>
      </c>
      <c r="F15" s="231" t="s">
        <v>14</v>
      </c>
      <c r="G15" s="230" t="s">
        <v>115</v>
      </c>
      <c r="H15" s="229"/>
      <c r="I15" s="266" t="s">
        <v>14</v>
      </c>
      <c r="J15" s="441" t="s">
        <v>105</v>
      </c>
      <c r="K15" s="337" t="s">
        <v>385</v>
      </c>
      <c r="L15" s="203">
        <v>10</v>
      </c>
      <c r="M15" s="500" t="s">
        <v>431</v>
      </c>
      <c r="N15" s="314"/>
      <c r="O15" s="407"/>
      <c r="P15" s="245"/>
      <c r="Q15" s="6">
        <v>2</v>
      </c>
      <c r="R15" s="6">
        <v>1</v>
      </c>
      <c r="S15" s="6">
        <v>1</v>
      </c>
      <c r="T15" s="6">
        <v>1</v>
      </c>
      <c r="U15" s="6"/>
      <c r="V15" s="6"/>
      <c r="W15" s="6">
        <v>1</v>
      </c>
      <c r="X15" s="6"/>
      <c r="Y15" s="6"/>
      <c r="Z15" s="6">
        <v>1</v>
      </c>
      <c r="AA15" s="6"/>
      <c r="AB15" s="6">
        <v>3</v>
      </c>
      <c r="AC15" s="6"/>
      <c r="AD15" s="6"/>
      <c r="AE15" s="6"/>
      <c r="AF15" s="6"/>
      <c r="AG15" s="6"/>
      <c r="AH15" s="6"/>
      <c r="AI15" s="6"/>
      <c r="AJ15" s="6"/>
      <c r="AK15" s="68" t="s">
        <v>403</v>
      </c>
    </row>
    <row r="16" spans="1:39" s="44" customFormat="1" ht="38.25" x14ac:dyDescent="0.2">
      <c r="A16" s="67">
        <v>12</v>
      </c>
      <c r="B16" s="5" t="s">
        <v>36</v>
      </c>
      <c r="C16" s="73" t="s">
        <v>320</v>
      </c>
      <c r="D16" s="240" t="s">
        <v>211</v>
      </c>
      <c r="E16" s="98">
        <v>42898</v>
      </c>
      <c r="F16" s="460" t="s">
        <v>14</v>
      </c>
      <c r="G16" s="461" t="s">
        <v>47</v>
      </c>
      <c r="H16" s="462"/>
      <c r="I16" s="244" t="s">
        <v>7</v>
      </c>
      <c r="J16" s="188" t="s">
        <v>274</v>
      </c>
      <c r="K16" s="543" t="s">
        <v>411</v>
      </c>
      <c r="L16" s="508" t="s">
        <v>346</v>
      </c>
      <c r="M16" s="566"/>
      <c r="N16" s="491"/>
      <c r="O16" s="492"/>
      <c r="P16" s="489">
        <v>0</v>
      </c>
      <c r="Q16" s="487">
        <v>2</v>
      </c>
      <c r="R16" s="487">
        <v>1</v>
      </c>
      <c r="S16" s="487">
        <v>1</v>
      </c>
      <c r="T16" s="487">
        <v>1</v>
      </c>
      <c r="U16" s="487">
        <v>2</v>
      </c>
      <c r="V16" s="487">
        <v>0</v>
      </c>
      <c r="W16" s="487">
        <v>1</v>
      </c>
      <c r="X16" s="487">
        <v>0</v>
      </c>
      <c r="Y16" s="487">
        <v>0</v>
      </c>
      <c r="Z16" s="487">
        <v>0</v>
      </c>
      <c r="AA16" s="487">
        <v>1</v>
      </c>
      <c r="AB16" s="487">
        <v>1</v>
      </c>
      <c r="AC16" s="487">
        <v>0</v>
      </c>
      <c r="AD16" s="487">
        <v>3</v>
      </c>
      <c r="AE16" s="487">
        <v>1</v>
      </c>
      <c r="AF16" s="487">
        <v>0</v>
      </c>
      <c r="AG16" s="487">
        <v>0</v>
      </c>
      <c r="AH16" s="487">
        <v>1</v>
      </c>
      <c r="AI16" s="487">
        <v>0</v>
      </c>
      <c r="AJ16" s="487">
        <v>1</v>
      </c>
      <c r="AK16" s="493" t="s">
        <v>404</v>
      </c>
      <c r="AM16" s="43"/>
    </row>
    <row r="17" spans="1:39" s="44" customFormat="1" ht="25.5" x14ac:dyDescent="0.2">
      <c r="A17" s="69">
        <v>13</v>
      </c>
      <c r="B17" s="5" t="s">
        <v>42</v>
      </c>
      <c r="C17" s="30" t="s">
        <v>321</v>
      </c>
      <c r="D17" s="240" t="s">
        <v>211</v>
      </c>
      <c r="E17" s="459">
        <v>42898</v>
      </c>
      <c r="F17" s="238" t="s">
        <v>14</v>
      </c>
      <c r="G17" s="239" t="s">
        <v>50</v>
      </c>
      <c r="H17" s="249"/>
      <c r="I17" s="244" t="s">
        <v>7</v>
      </c>
      <c r="J17" s="188" t="s">
        <v>274</v>
      </c>
      <c r="K17" s="543" t="s">
        <v>412</v>
      </c>
      <c r="L17" s="508" t="s">
        <v>346</v>
      </c>
      <c r="M17" s="566"/>
      <c r="N17" s="487"/>
      <c r="O17" s="488"/>
      <c r="P17" s="489">
        <v>0</v>
      </c>
      <c r="Q17" s="487">
        <v>2</v>
      </c>
      <c r="R17" s="487">
        <v>1</v>
      </c>
      <c r="S17" s="487">
        <v>1</v>
      </c>
      <c r="T17" s="487">
        <v>1</v>
      </c>
      <c r="U17" s="487">
        <v>2</v>
      </c>
      <c r="V17" s="487">
        <v>0</v>
      </c>
      <c r="W17" s="487">
        <v>1</v>
      </c>
      <c r="X17" s="487">
        <v>0</v>
      </c>
      <c r="Y17" s="487">
        <v>1</v>
      </c>
      <c r="Z17" s="487">
        <v>0</v>
      </c>
      <c r="AA17" s="487">
        <v>1</v>
      </c>
      <c r="AB17" s="487">
        <v>1</v>
      </c>
      <c r="AC17" s="487">
        <v>0</v>
      </c>
      <c r="AD17" s="487">
        <v>0</v>
      </c>
      <c r="AE17" s="487">
        <v>0</v>
      </c>
      <c r="AF17" s="487">
        <v>1</v>
      </c>
      <c r="AG17" s="487">
        <v>0</v>
      </c>
      <c r="AH17" s="487">
        <v>1</v>
      </c>
      <c r="AI17" s="487">
        <v>0</v>
      </c>
      <c r="AJ17" s="487">
        <v>0</v>
      </c>
      <c r="AK17" s="494"/>
      <c r="AM17" s="43"/>
    </row>
    <row r="18" spans="1:39" s="44" customFormat="1" ht="25.5" x14ac:dyDescent="0.2">
      <c r="A18" s="67">
        <v>14</v>
      </c>
      <c r="B18" s="5" t="s">
        <v>37</v>
      </c>
      <c r="C18" s="73" t="s">
        <v>322</v>
      </c>
      <c r="D18" s="240" t="s">
        <v>211</v>
      </c>
      <c r="E18" s="98">
        <v>42898</v>
      </c>
      <c r="F18" s="238" t="s">
        <v>14</v>
      </c>
      <c r="G18" s="239" t="s">
        <v>48</v>
      </c>
      <c r="H18" s="249"/>
      <c r="I18" s="244" t="s">
        <v>7</v>
      </c>
      <c r="J18" s="188" t="s">
        <v>274</v>
      </c>
      <c r="K18" s="543" t="s">
        <v>470</v>
      </c>
      <c r="L18" s="357">
        <v>2</v>
      </c>
      <c r="M18" s="244"/>
      <c r="N18" s="324"/>
      <c r="O18" s="380"/>
      <c r="P18" s="374"/>
      <c r="Q18" s="533">
        <v>2</v>
      </c>
      <c r="R18" s="533">
        <v>1</v>
      </c>
      <c r="S18" s="533">
        <v>1</v>
      </c>
      <c r="T18" s="9">
        <v>1</v>
      </c>
      <c r="U18" s="9">
        <v>2</v>
      </c>
      <c r="V18" s="234"/>
      <c r="W18" s="9">
        <v>1</v>
      </c>
      <c r="X18" s="234"/>
      <c r="Y18" s="234"/>
      <c r="Z18" s="9">
        <v>1</v>
      </c>
      <c r="AA18" s="234"/>
      <c r="AB18" s="9">
        <v>1</v>
      </c>
      <c r="AC18" s="234"/>
      <c r="AD18" s="234"/>
      <c r="AE18" s="234"/>
      <c r="AF18" s="234"/>
      <c r="AG18" s="234"/>
      <c r="AH18" s="234"/>
      <c r="AI18" s="234"/>
      <c r="AJ18" s="234"/>
      <c r="AK18" s="70"/>
    </row>
    <row r="19" spans="1:39" s="44" customFormat="1" ht="25.5" x14ac:dyDescent="0.2">
      <c r="A19" s="69">
        <v>15</v>
      </c>
      <c r="B19" s="5" t="s">
        <v>40</v>
      </c>
      <c r="C19" s="30" t="s">
        <v>323</v>
      </c>
      <c r="D19" s="240" t="s">
        <v>211</v>
      </c>
      <c r="E19" s="459">
        <v>42898</v>
      </c>
      <c r="F19" s="238" t="s">
        <v>14</v>
      </c>
      <c r="G19" s="239" t="s">
        <v>48</v>
      </c>
      <c r="H19" s="249" t="s">
        <v>109</v>
      </c>
      <c r="I19" s="244" t="s">
        <v>7</v>
      </c>
      <c r="J19" s="188" t="s">
        <v>34</v>
      </c>
      <c r="K19" s="543" t="s">
        <v>413</v>
      </c>
      <c r="L19" s="486">
        <v>4</v>
      </c>
      <c r="M19" s="522"/>
      <c r="N19" s="487">
        <v>1</v>
      </c>
      <c r="O19" s="488"/>
      <c r="P19" s="489">
        <v>0</v>
      </c>
      <c r="Q19" s="487">
        <v>2</v>
      </c>
      <c r="R19" s="487">
        <v>1</v>
      </c>
      <c r="S19" s="487">
        <v>1</v>
      </c>
      <c r="T19" s="487">
        <v>1</v>
      </c>
      <c r="U19" s="487">
        <v>2</v>
      </c>
      <c r="V19" s="487">
        <v>0</v>
      </c>
      <c r="W19" s="487">
        <v>1</v>
      </c>
      <c r="X19" s="487">
        <v>0</v>
      </c>
      <c r="Y19" s="487">
        <v>0</v>
      </c>
      <c r="Z19" s="487">
        <v>1</v>
      </c>
      <c r="AA19" s="487">
        <v>0</v>
      </c>
      <c r="AB19" s="487">
        <v>1</v>
      </c>
      <c r="AC19" s="487">
        <v>0</v>
      </c>
      <c r="AD19" s="487">
        <v>0</v>
      </c>
      <c r="AE19" s="487">
        <v>0</v>
      </c>
      <c r="AF19" s="487">
        <v>0</v>
      </c>
      <c r="AG19" s="487">
        <v>0</v>
      </c>
      <c r="AH19" s="487">
        <v>1</v>
      </c>
      <c r="AI19" s="487">
        <v>0</v>
      </c>
      <c r="AJ19" s="487">
        <v>0</v>
      </c>
      <c r="AK19" s="70"/>
      <c r="AM19" s="43"/>
    </row>
    <row r="20" spans="1:39" s="44" customFormat="1" ht="25.5" x14ac:dyDescent="0.2">
      <c r="A20" s="67">
        <v>16</v>
      </c>
      <c r="B20" s="5" t="s">
        <v>44</v>
      </c>
      <c r="C20" s="30" t="s">
        <v>324</v>
      </c>
      <c r="D20" s="240" t="s">
        <v>211</v>
      </c>
      <c r="E20" s="98">
        <v>42898</v>
      </c>
      <c r="F20" s="238" t="s">
        <v>14</v>
      </c>
      <c r="G20" s="239" t="s">
        <v>50</v>
      </c>
      <c r="H20" s="249" t="s">
        <v>109</v>
      </c>
      <c r="I20" s="244" t="s">
        <v>7</v>
      </c>
      <c r="J20" s="188" t="s">
        <v>34</v>
      </c>
      <c r="K20" s="543" t="s">
        <v>414</v>
      </c>
      <c r="L20" s="506" t="s">
        <v>245</v>
      </c>
      <c r="M20" s="567"/>
      <c r="N20" s="487"/>
      <c r="O20" s="488"/>
      <c r="P20" s="489">
        <v>0</v>
      </c>
      <c r="Q20" s="487">
        <v>2</v>
      </c>
      <c r="R20" s="487">
        <v>1</v>
      </c>
      <c r="S20" s="487">
        <v>1</v>
      </c>
      <c r="T20" s="487">
        <v>1</v>
      </c>
      <c r="U20" s="487">
        <v>2</v>
      </c>
      <c r="V20" s="487">
        <v>0</v>
      </c>
      <c r="W20" s="487">
        <v>1</v>
      </c>
      <c r="X20" s="487">
        <v>0</v>
      </c>
      <c r="Y20" s="487">
        <v>0</v>
      </c>
      <c r="Z20" s="487">
        <v>1</v>
      </c>
      <c r="AA20" s="487">
        <v>0</v>
      </c>
      <c r="AB20" s="487">
        <v>1</v>
      </c>
      <c r="AC20" s="487">
        <v>0</v>
      </c>
      <c r="AD20" s="487">
        <v>0</v>
      </c>
      <c r="AE20" s="487">
        <v>0</v>
      </c>
      <c r="AF20" s="487">
        <v>0</v>
      </c>
      <c r="AG20" s="487">
        <v>0</v>
      </c>
      <c r="AH20" s="487">
        <v>1</v>
      </c>
      <c r="AI20" s="487">
        <v>0</v>
      </c>
      <c r="AJ20" s="487">
        <v>1</v>
      </c>
      <c r="AK20" s="70"/>
      <c r="AM20" s="43"/>
    </row>
    <row r="21" spans="1:39" s="236" customFormat="1" ht="38.25" x14ac:dyDescent="0.2">
      <c r="A21" s="67">
        <v>17</v>
      </c>
      <c r="B21" s="5" t="s">
        <v>39</v>
      </c>
      <c r="C21" s="30" t="s">
        <v>325</v>
      </c>
      <c r="D21" s="240" t="s">
        <v>211</v>
      </c>
      <c r="E21" s="459">
        <v>42898</v>
      </c>
      <c r="F21" s="238" t="s">
        <v>14</v>
      </c>
      <c r="G21" s="239" t="s">
        <v>48</v>
      </c>
      <c r="H21" s="249"/>
      <c r="I21" s="244" t="s">
        <v>7</v>
      </c>
      <c r="J21" s="188" t="s">
        <v>34</v>
      </c>
      <c r="K21" s="543" t="s">
        <v>415</v>
      </c>
      <c r="L21" s="99" t="s">
        <v>245</v>
      </c>
      <c r="M21" s="565"/>
      <c r="N21" s="324"/>
      <c r="O21" s="380"/>
      <c r="P21" s="244"/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9"/>
      <c r="W21" s="9">
        <v>1</v>
      </c>
      <c r="X21" s="9"/>
      <c r="Y21" s="9"/>
      <c r="Z21" s="9">
        <v>1</v>
      </c>
      <c r="AA21" s="9"/>
      <c r="AB21" s="9">
        <v>1</v>
      </c>
      <c r="AC21" s="9"/>
      <c r="AD21" s="9"/>
      <c r="AE21" s="9"/>
      <c r="AF21" s="9"/>
      <c r="AG21" s="9"/>
      <c r="AH21" s="9">
        <v>1</v>
      </c>
      <c r="AI21" s="9"/>
      <c r="AJ21" s="9"/>
      <c r="AK21" s="453" t="s">
        <v>344</v>
      </c>
      <c r="AM21" s="237"/>
    </row>
    <row r="22" spans="1:39" s="44" customFormat="1" ht="25.5" x14ac:dyDescent="0.2">
      <c r="A22" s="69">
        <v>18</v>
      </c>
      <c r="B22" s="471" t="s">
        <v>43</v>
      </c>
      <c r="C22" s="30" t="s">
        <v>326</v>
      </c>
      <c r="D22" s="240" t="s">
        <v>211</v>
      </c>
      <c r="E22" s="98">
        <v>42898</v>
      </c>
      <c r="F22" s="239" t="s">
        <v>14</v>
      </c>
      <c r="G22" s="239" t="s">
        <v>48</v>
      </c>
      <c r="H22" s="249"/>
      <c r="I22" s="244" t="s">
        <v>7</v>
      </c>
      <c r="J22" s="71" t="s">
        <v>34</v>
      </c>
      <c r="K22" s="543" t="s">
        <v>416</v>
      </c>
      <c r="L22" s="379">
        <v>4</v>
      </c>
      <c r="M22" s="323"/>
      <c r="N22" s="324"/>
      <c r="O22" s="380"/>
      <c r="P22" s="244"/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/>
      <c r="W22" s="9">
        <v>1</v>
      </c>
      <c r="X22" s="9"/>
      <c r="Y22" s="9"/>
      <c r="Z22" s="9">
        <v>1</v>
      </c>
      <c r="AA22" s="9"/>
      <c r="AB22" s="9">
        <v>1</v>
      </c>
      <c r="AC22" s="9"/>
      <c r="AD22" s="9"/>
      <c r="AE22" s="9"/>
      <c r="AF22" s="9"/>
      <c r="AG22" s="9"/>
      <c r="AH22" s="9">
        <v>1</v>
      </c>
      <c r="AI22" s="9"/>
      <c r="AJ22" s="9"/>
      <c r="AK22" s="453" t="s">
        <v>345</v>
      </c>
    </row>
    <row r="23" spans="1:39" s="44" customFormat="1" ht="25.5" x14ac:dyDescent="0.2">
      <c r="A23" s="69">
        <v>19</v>
      </c>
      <c r="B23" s="80" t="s">
        <v>79</v>
      </c>
      <c r="C23" s="51" t="s">
        <v>327</v>
      </c>
      <c r="D23" s="242" t="s">
        <v>213</v>
      </c>
      <c r="E23" s="98">
        <v>42898</v>
      </c>
      <c r="F23" s="251" t="s">
        <v>7</v>
      </c>
      <c r="G23" s="262" t="s">
        <v>16</v>
      </c>
      <c r="H23" s="253"/>
      <c r="I23" s="244" t="s">
        <v>7</v>
      </c>
      <c r="J23" s="71" t="s">
        <v>58</v>
      </c>
      <c r="K23" s="543" t="s">
        <v>417</v>
      </c>
      <c r="L23" s="379">
        <v>2</v>
      </c>
      <c r="M23" s="323"/>
      <c r="N23" s="324"/>
      <c r="O23" s="380">
        <v>1</v>
      </c>
      <c r="P23" s="244">
        <v>2</v>
      </c>
      <c r="Q23" s="9"/>
      <c r="R23" s="9">
        <v>1</v>
      </c>
      <c r="S23" s="9">
        <v>1</v>
      </c>
      <c r="T23" s="9">
        <v>1</v>
      </c>
      <c r="U23" s="9"/>
      <c r="V23" s="9"/>
      <c r="W23" s="9">
        <v>1</v>
      </c>
      <c r="X23" s="9">
        <v>1</v>
      </c>
      <c r="Y23" s="540">
        <v>1</v>
      </c>
      <c r="Z23" s="9"/>
      <c r="AA23" s="9">
        <v>2</v>
      </c>
      <c r="AB23" s="9"/>
      <c r="AC23" s="9"/>
      <c r="AD23" s="9">
        <v>2</v>
      </c>
      <c r="AE23" s="9">
        <v>1</v>
      </c>
      <c r="AF23" s="9"/>
      <c r="AG23" s="9"/>
      <c r="AH23" s="9">
        <v>1</v>
      </c>
      <c r="AI23" s="9"/>
      <c r="AJ23" s="9"/>
      <c r="AK23" s="70" t="s">
        <v>424</v>
      </c>
    </row>
    <row r="24" spans="1:39" s="236" customFormat="1" ht="25.5" x14ac:dyDescent="0.2">
      <c r="A24" s="67">
        <v>20</v>
      </c>
      <c r="B24" s="5" t="s">
        <v>41</v>
      </c>
      <c r="C24" s="30" t="s">
        <v>328</v>
      </c>
      <c r="D24" s="240" t="s">
        <v>211</v>
      </c>
      <c r="E24" s="459">
        <v>42898</v>
      </c>
      <c r="F24" s="238" t="s">
        <v>14</v>
      </c>
      <c r="G24" s="239" t="s">
        <v>49</v>
      </c>
      <c r="H24" s="249"/>
      <c r="I24" s="244" t="s">
        <v>7</v>
      </c>
      <c r="J24" s="71" t="s">
        <v>58</v>
      </c>
      <c r="K24" s="544" t="s">
        <v>253</v>
      </c>
      <c r="L24" s="358">
        <v>5</v>
      </c>
      <c r="M24" s="374"/>
      <c r="N24" s="324"/>
      <c r="O24" s="380"/>
      <c r="P24" s="374">
        <v>1</v>
      </c>
      <c r="Q24" s="234"/>
      <c r="R24" s="234">
        <v>1</v>
      </c>
      <c r="S24" s="234">
        <v>1</v>
      </c>
      <c r="T24" s="234">
        <v>1</v>
      </c>
      <c r="U24" s="234"/>
      <c r="V24" s="234"/>
      <c r="W24" s="234">
        <v>1</v>
      </c>
      <c r="X24" s="234"/>
      <c r="Y24" s="234">
        <v>1</v>
      </c>
      <c r="Z24" s="234">
        <v>2</v>
      </c>
      <c r="AA24" s="234"/>
      <c r="AB24" s="234">
        <v>1</v>
      </c>
      <c r="AC24" s="234"/>
      <c r="AD24" s="234"/>
      <c r="AE24" s="234"/>
      <c r="AF24" s="234"/>
      <c r="AG24" s="234"/>
      <c r="AH24" s="234"/>
      <c r="AI24" s="234"/>
      <c r="AJ24" s="234"/>
      <c r="AK24" s="70"/>
    </row>
    <row r="25" spans="1:39" s="236" customFormat="1" ht="25.5" x14ac:dyDescent="0.2">
      <c r="A25" s="67">
        <v>21</v>
      </c>
      <c r="B25" s="5" t="s">
        <v>45</v>
      </c>
      <c r="C25" s="30" t="s">
        <v>329</v>
      </c>
      <c r="D25" s="240" t="s">
        <v>211</v>
      </c>
      <c r="E25" s="98">
        <v>42898</v>
      </c>
      <c r="F25" s="238" t="s">
        <v>14</v>
      </c>
      <c r="G25" s="239" t="s">
        <v>51</v>
      </c>
      <c r="H25" s="249"/>
      <c r="I25" s="244" t="s">
        <v>7</v>
      </c>
      <c r="J25" s="131">
        <v>704</v>
      </c>
      <c r="K25" s="543" t="s">
        <v>418</v>
      </c>
      <c r="L25" s="523">
        <v>6</v>
      </c>
      <c r="M25" s="522" t="s">
        <v>431</v>
      </c>
      <c r="N25" s="521"/>
      <c r="O25" s="524"/>
      <c r="P25" s="522">
        <v>0</v>
      </c>
      <c r="Q25" s="521">
        <v>1</v>
      </c>
      <c r="R25" s="521">
        <v>1</v>
      </c>
      <c r="S25" s="521">
        <v>1</v>
      </c>
      <c r="T25" s="521">
        <v>1</v>
      </c>
      <c r="U25" s="521">
        <v>1</v>
      </c>
      <c r="V25" s="521">
        <v>1</v>
      </c>
      <c r="W25" s="521">
        <v>1</v>
      </c>
      <c r="X25" s="521"/>
      <c r="Y25" s="521">
        <v>1</v>
      </c>
      <c r="Z25" s="521"/>
      <c r="AA25" s="521"/>
      <c r="AB25" s="521">
        <v>0</v>
      </c>
      <c r="AC25" s="521">
        <v>1</v>
      </c>
      <c r="AD25" s="521">
        <v>2</v>
      </c>
      <c r="AE25" s="521">
        <v>1</v>
      </c>
      <c r="AF25" s="521"/>
      <c r="AG25" s="521"/>
      <c r="AH25" s="521"/>
      <c r="AI25" s="521"/>
      <c r="AJ25" s="521"/>
      <c r="AK25" s="525" t="s">
        <v>400</v>
      </c>
    </row>
    <row r="26" spans="1:39" ht="13.5" thickBot="1" x14ac:dyDescent="0.25">
      <c r="E26" s="255"/>
      <c r="F26" s="256"/>
      <c r="G26" s="257"/>
      <c r="H26" s="258"/>
      <c r="L26" s="255"/>
      <c r="M26" s="256"/>
      <c r="N26" s="256"/>
      <c r="O26" s="258"/>
    </row>
    <row r="27" spans="1:39" x14ac:dyDescent="0.2">
      <c r="B27" s="17"/>
      <c r="C27" s="17"/>
      <c r="O27" s="2" t="s">
        <v>191</v>
      </c>
      <c r="P27" s="42">
        <f t="shared" ref="P27:AJ27" si="0">SUM(P7:P25)</f>
        <v>11</v>
      </c>
      <c r="Q27" s="42">
        <f t="shared" si="0"/>
        <v>16</v>
      </c>
      <c r="R27" s="42">
        <f t="shared" si="0"/>
        <v>20</v>
      </c>
      <c r="S27" s="42">
        <f t="shared" si="0"/>
        <v>18</v>
      </c>
      <c r="T27" s="42">
        <f t="shared" si="0"/>
        <v>14</v>
      </c>
      <c r="U27" s="42">
        <f t="shared" si="0"/>
        <v>14</v>
      </c>
      <c r="V27" s="42">
        <f t="shared" si="0"/>
        <v>6</v>
      </c>
      <c r="W27" s="42">
        <f t="shared" si="0"/>
        <v>19</v>
      </c>
      <c r="X27" s="42">
        <f t="shared" si="0"/>
        <v>1</v>
      </c>
      <c r="Y27" s="42">
        <f t="shared" si="0"/>
        <v>8</v>
      </c>
      <c r="Z27" s="42">
        <f t="shared" si="0"/>
        <v>12</v>
      </c>
      <c r="AA27" s="42">
        <f t="shared" si="0"/>
        <v>8</v>
      </c>
      <c r="AB27" s="42">
        <f t="shared" si="0"/>
        <v>20</v>
      </c>
      <c r="AC27" s="42">
        <f t="shared" si="0"/>
        <v>1</v>
      </c>
      <c r="AD27" s="42">
        <f t="shared" si="0"/>
        <v>12</v>
      </c>
      <c r="AE27" s="42">
        <f t="shared" si="0"/>
        <v>5</v>
      </c>
      <c r="AF27" s="42">
        <f t="shared" si="0"/>
        <v>3</v>
      </c>
      <c r="AG27" s="42">
        <f t="shared" si="0"/>
        <v>1</v>
      </c>
      <c r="AH27" s="42">
        <f t="shared" si="0"/>
        <v>8</v>
      </c>
      <c r="AI27" s="42">
        <f t="shared" si="0"/>
        <v>0</v>
      </c>
      <c r="AJ27" s="42">
        <f t="shared" si="0"/>
        <v>2</v>
      </c>
    </row>
  </sheetData>
  <mergeCells count="6">
    <mergeCell ref="A1:AK1"/>
    <mergeCell ref="A2:AK2"/>
    <mergeCell ref="E3:H3"/>
    <mergeCell ref="I3:K3"/>
    <mergeCell ref="L3:O3"/>
    <mergeCell ref="P3:AK3"/>
  </mergeCells>
  <conditionalFormatting sqref="K16:K17">
    <cfRule type="cellIs" dxfId="323" priority="16" stopIfTrue="1" operator="equal">
      <formula>"neu"</formula>
    </cfRule>
  </conditionalFormatting>
  <conditionalFormatting sqref="K18:AJ18">
    <cfRule type="cellIs" dxfId="322" priority="14" stopIfTrue="1" operator="equal">
      <formula>"neu"</formula>
    </cfRule>
  </conditionalFormatting>
  <conditionalFormatting sqref="K19">
    <cfRule type="cellIs" dxfId="321" priority="13" stopIfTrue="1" operator="equal">
      <formula>"neu"</formula>
    </cfRule>
  </conditionalFormatting>
  <conditionalFormatting sqref="K20">
    <cfRule type="cellIs" dxfId="320" priority="12" stopIfTrue="1" operator="equal">
      <formula>"neu"</formula>
    </cfRule>
  </conditionalFormatting>
  <conditionalFormatting sqref="K21:AJ21">
    <cfRule type="cellIs" dxfId="319" priority="11" stopIfTrue="1" operator="equal">
      <formula>"neu"</formula>
    </cfRule>
  </conditionalFormatting>
  <conditionalFormatting sqref="L22:AJ22">
    <cfRule type="cellIs" dxfId="318" priority="10" stopIfTrue="1" operator="equal">
      <formula>"neu"</formula>
    </cfRule>
  </conditionalFormatting>
  <conditionalFormatting sqref="K24:AJ24">
    <cfRule type="cellIs" dxfId="317" priority="8" stopIfTrue="1" operator="equal">
      <formula>"neu"</formula>
    </cfRule>
  </conditionalFormatting>
  <conditionalFormatting sqref="K25:AJ25">
    <cfRule type="cellIs" dxfId="316" priority="7" stopIfTrue="1" operator="equal">
      <formula>"neu"</formula>
    </cfRule>
  </conditionalFormatting>
  <conditionalFormatting sqref="K22">
    <cfRule type="cellIs" dxfId="315" priority="5" stopIfTrue="1" operator="equal">
      <formula>"neu"</formula>
    </cfRule>
  </conditionalFormatting>
  <conditionalFormatting sqref="L16:AJ17">
    <cfRule type="cellIs" dxfId="314" priority="3" stopIfTrue="1" operator="equal">
      <formula>"neu"</formula>
    </cfRule>
  </conditionalFormatting>
  <conditionalFormatting sqref="L19:AJ19">
    <cfRule type="cellIs" dxfId="313" priority="2" stopIfTrue="1" operator="equal">
      <formula>"neu"</formula>
    </cfRule>
  </conditionalFormatting>
  <conditionalFormatting sqref="L20:AJ20">
    <cfRule type="cellIs" dxfId="312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6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L25"/>
  <sheetViews>
    <sheetView showGridLines="0" topLeftCell="B1" zoomScale="80" zoomScaleNormal="80" zoomScaleSheetLayoutView="84" workbookViewId="0">
      <pane ySplit="4" topLeftCell="A5" activePane="bottomLeft" state="frozen"/>
      <selection pane="bottomLeft" activeCell="D6" sqref="D6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6" style="2" customWidth="1"/>
    <col min="12" max="15" width="9.140625" style="2" customWidth="1"/>
    <col min="16" max="36" width="4.7109375" style="2" customWidth="1"/>
    <col min="37" max="37" width="52.5703125" style="2" customWidth="1"/>
    <col min="38" max="142" width="11.42578125" style="3"/>
    <col min="143" max="16384" width="11.42578125" style="1"/>
  </cols>
  <sheetData>
    <row r="1" spans="1:37" ht="30.75" customHeight="1" thickBot="1" x14ac:dyDescent="0.25">
      <c r="A1" s="629" t="s">
        <v>272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1"/>
      <c r="AK1" s="632"/>
    </row>
    <row r="2" spans="1:37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5"/>
      <c r="AK2" s="636"/>
    </row>
    <row r="3" spans="1:37" ht="13.5" thickBot="1" x14ac:dyDescent="0.25">
      <c r="A3" s="37"/>
      <c r="B3" s="35"/>
      <c r="C3" s="39"/>
      <c r="D3" s="90"/>
      <c r="E3" s="637" t="s">
        <v>5</v>
      </c>
      <c r="F3" s="638"/>
      <c r="G3" s="638"/>
      <c r="H3" s="639"/>
      <c r="I3" s="640" t="s">
        <v>11</v>
      </c>
      <c r="J3" s="640"/>
      <c r="K3" s="640"/>
      <c r="L3" s="641" t="s">
        <v>237</v>
      </c>
      <c r="M3" s="640"/>
      <c r="N3" s="640"/>
      <c r="O3" s="642"/>
      <c r="P3" s="640" t="s">
        <v>189</v>
      </c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2"/>
    </row>
    <row r="4" spans="1:37" s="3" customFormat="1" ht="141.75" customHeight="1" thickBot="1" x14ac:dyDescent="0.25">
      <c r="A4" s="20" t="s">
        <v>0</v>
      </c>
      <c r="B4" s="36" t="s">
        <v>1</v>
      </c>
      <c r="C4" s="21" t="s">
        <v>184</v>
      </c>
      <c r="D4" s="91" t="s">
        <v>6</v>
      </c>
      <c r="E4" s="20" t="s">
        <v>2</v>
      </c>
      <c r="F4" s="22" t="s">
        <v>3</v>
      </c>
      <c r="G4" s="31" t="s">
        <v>235</v>
      </c>
      <c r="H4" s="11" t="s">
        <v>10</v>
      </c>
      <c r="I4" s="23" t="s">
        <v>12</v>
      </c>
      <c r="J4" s="96" t="s">
        <v>236</v>
      </c>
      <c r="K4" s="97" t="s">
        <v>240</v>
      </c>
      <c r="L4" s="282" t="s">
        <v>185</v>
      </c>
      <c r="M4" s="562" t="s">
        <v>430</v>
      </c>
      <c r="N4" s="283" t="s">
        <v>186</v>
      </c>
      <c r="O4" s="284" t="s">
        <v>187</v>
      </c>
      <c r="P4" s="93" t="s">
        <v>163</v>
      </c>
      <c r="Q4" s="32" t="s">
        <v>164</v>
      </c>
      <c r="R4" s="32" t="s">
        <v>165</v>
      </c>
      <c r="S4" s="32" t="s">
        <v>166</v>
      </c>
      <c r="T4" s="32" t="s">
        <v>167</v>
      </c>
      <c r="U4" s="32" t="s">
        <v>168</v>
      </c>
      <c r="V4" s="32" t="s">
        <v>169</v>
      </c>
      <c r="W4" s="32" t="s">
        <v>170</v>
      </c>
      <c r="X4" s="32" t="s">
        <v>171</v>
      </c>
      <c r="Y4" s="32" t="s">
        <v>172</v>
      </c>
      <c r="Z4" s="32" t="s">
        <v>173</v>
      </c>
      <c r="AA4" s="32" t="s">
        <v>174</v>
      </c>
      <c r="AB4" s="32" t="s">
        <v>175</v>
      </c>
      <c r="AC4" s="32" t="s">
        <v>176</v>
      </c>
      <c r="AD4" s="32" t="s">
        <v>177</v>
      </c>
      <c r="AE4" s="32" t="s">
        <v>178</v>
      </c>
      <c r="AF4" s="32" t="s">
        <v>179</v>
      </c>
      <c r="AG4" s="32" t="s">
        <v>180</v>
      </c>
      <c r="AH4" s="32" t="s">
        <v>181</v>
      </c>
      <c r="AI4" s="32" t="s">
        <v>182</v>
      </c>
      <c r="AJ4" s="33" t="s">
        <v>183</v>
      </c>
      <c r="AK4" s="34" t="s">
        <v>190</v>
      </c>
    </row>
    <row r="5" spans="1:37" s="3" customFormat="1" ht="15.75" x14ac:dyDescent="0.2">
      <c r="A5" s="67">
        <v>1</v>
      </c>
      <c r="B5" s="472" t="s">
        <v>111</v>
      </c>
      <c r="C5" s="45" t="s">
        <v>330</v>
      </c>
      <c r="D5" s="87" t="s">
        <v>215</v>
      </c>
      <c r="E5" s="98">
        <v>42899</v>
      </c>
      <c r="F5" s="226" t="s">
        <v>7</v>
      </c>
      <c r="G5" s="227" t="s">
        <v>110</v>
      </c>
      <c r="H5" s="228" t="s">
        <v>307</v>
      </c>
      <c r="I5" s="266" t="s">
        <v>14</v>
      </c>
      <c r="J5" s="441" t="s">
        <v>115</v>
      </c>
      <c r="K5" s="24"/>
      <c r="L5" s="507" t="s">
        <v>245</v>
      </c>
      <c r="M5" s="563" t="s">
        <v>431</v>
      </c>
      <c r="N5" s="276"/>
      <c r="O5" s="277"/>
      <c r="P5" s="509">
        <v>1</v>
      </c>
      <c r="Q5" s="447"/>
      <c r="R5" s="447">
        <v>1</v>
      </c>
      <c r="S5" s="447">
        <v>1</v>
      </c>
      <c r="T5" s="447">
        <v>1</v>
      </c>
      <c r="U5" s="447"/>
      <c r="V5" s="447"/>
      <c r="W5" s="447">
        <v>1</v>
      </c>
      <c r="X5" s="447"/>
      <c r="Y5" s="447"/>
      <c r="Z5" s="447"/>
      <c r="AA5" s="447"/>
      <c r="AB5" s="447">
        <v>1</v>
      </c>
      <c r="AC5" s="447"/>
      <c r="AD5" s="447"/>
      <c r="AE5" s="447"/>
      <c r="AF5" s="447"/>
      <c r="AG5" s="447"/>
      <c r="AH5" s="447"/>
      <c r="AI5" s="447"/>
      <c r="AJ5" s="447"/>
      <c r="AK5" s="513" t="s">
        <v>348</v>
      </c>
    </row>
    <row r="6" spans="1:37" s="3" customFormat="1" ht="38.25" x14ac:dyDescent="0.2">
      <c r="A6" s="69">
        <v>2</v>
      </c>
      <c r="B6" s="471" t="s">
        <v>93</v>
      </c>
      <c r="C6" s="51" t="s">
        <v>331</v>
      </c>
      <c r="D6" s="242" t="s">
        <v>213</v>
      </c>
      <c r="E6" s="98">
        <v>42899</v>
      </c>
      <c r="F6" s="251" t="s">
        <v>7</v>
      </c>
      <c r="G6" s="252">
        <v>732</v>
      </c>
      <c r="H6" s="253"/>
      <c r="I6" s="244" t="s">
        <v>14</v>
      </c>
      <c r="J6" s="71" t="s">
        <v>47</v>
      </c>
      <c r="K6" s="25" t="s">
        <v>386</v>
      </c>
      <c r="L6" s="357">
        <v>7</v>
      </c>
      <c r="M6" s="563" t="s">
        <v>431</v>
      </c>
      <c r="N6" s="238"/>
      <c r="O6" s="336"/>
      <c r="P6" s="244">
        <v>1</v>
      </c>
      <c r="Q6" s="9"/>
      <c r="R6" s="9">
        <v>1</v>
      </c>
      <c r="S6" s="9">
        <v>1</v>
      </c>
      <c r="T6" s="9"/>
      <c r="U6" s="9"/>
      <c r="V6" s="9">
        <v>1</v>
      </c>
      <c r="W6" s="9">
        <v>1</v>
      </c>
      <c r="X6" s="9"/>
      <c r="Y6" s="9">
        <v>1</v>
      </c>
      <c r="Z6" s="9">
        <v>2</v>
      </c>
      <c r="AA6" s="9"/>
      <c r="AB6" s="9">
        <v>1</v>
      </c>
      <c r="AC6" s="9"/>
      <c r="AD6" s="9"/>
      <c r="AE6" s="9"/>
      <c r="AF6" s="9">
        <v>1</v>
      </c>
      <c r="AG6" s="9"/>
      <c r="AH6" s="9"/>
      <c r="AI6" s="9"/>
      <c r="AJ6" s="9"/>
      <c r="AK6" s="453" t="s">
        <v>406</v>
      </c>
    </row>
    <row r="7" spans="1:37" s="3" customFormat="1" ht="15.75" x14ac:dyDescent="0.2">
      <c r="A7" s="67">
        <v>3</v>
      </c>
      <c r="B7" s="472" t="s">
        <v>87</v>
      </c>
      <c r="C7" s="41" t="s">
        <v>250</v>
      </c>
      <c r="D7" s="92" t="s">
        <v>213</v>
      </c>
      <c r="E7" s="98">
        <v>42899</v>
      </c>
      <c r="F7" s="231" t="s">
        <v>7</v>
      </c>
      <c r="G7" s="254" t="s">
        <v>251</v>
      </c>
      <c r="H7" s="229"/>
      <c r="I7" s="245" t="s">
        <v>14</v>
      </c>
      <c r="J7" s="13" t="s">
        <v>50</v>
      </c>
      <c r="K7" s="24" t="s">
        <v>386</v>
      </c>
      <c r="L7" s="495">
        <v>2</v>
      </c>
      <c r="M7" s="563" t="s">
        <v>431</v>
      </c>
      <c r="N7" s="490">
        <v>0</v>
      </c>
      <c r="O7" s="496">
        <v>0</v>
      </c>
      <c r="P7" s="266">
        <v>0</v>
      </c>
      <c r="Q7" s="490">
        <v>1</v>
      </c>
      <c r="R7" s="490">
        <v>1</v>
      </c>
      <c r="S7" s="490">
        <v>1</v>
      </c>
      <c r="T7" s="490">
        <v>1</v>
      </c>
      <c r="U7" s="490">
        <v>1</v>
      </c>
      <c r="V7" s="490">
        <v>0</v>
      </c>
      <c r="W7" s="490">
        <v>1</v>
      </c>
      <c r="X7" s="490">
        <v>1</v>
      </c>
      <c r="Y7" s="490">
        <v>0</v>
      </c>
      <c r="Z7" s="490">
        <v>0</v>
      </c>
      <c r="AA7" s="490">
        <v>1</v>
      </c>
      <c r="AB7" s="490">
        <v>1</v>
      </c>
      <c r="AC7" s="490">
        <v>0</v>
      </c>
      <c r="AD7" s="490">
        <v>2</v>
      </c>
      <c r="AE7" s="490">
        <v>1</v>
      </c>
      <c r="AF7" s="490">
        <v>0</v>
      </c>
      <c r="AG7" s="490">
        <v>0</v>
      </c>
      <c r="AH7" s="490">
        <v>1</v>
      </c>
      <c r="AI7" s="490">
        <v>0</v>
      </c>
      <c r="AJ7" s="490">
        <v>0</v>
      </c>
      <c r="AK7" s="300" t="s">
        <v>309</v>
      </c>
    </row>
    <row r="8" spans="1:37" s="3" customFormat="1" ht="15.75" x14ac:dyDescent="0.2">
      <c r="A8" s="69">
        <v>4</v>
      </c>
      <c r="B8" s="472" t="s">
        <v>84</v>
      </c>
      <c r="C8" s="45" t="s">
        <v>332</v>
      </c>
      <c r="D8" s="92" t="s">
        <v>213</v>
      </c>
      <c r="E8" s="98">
        <v>42899</v>
      </c>
      <c r="F8" s="231" t="s">
        <v>14</v>
      </c>
      <c r="G8" s="230" t="s">
        <v>75</v>
      </c>
      <c r="H8" s="229"/>
      <c r="I8" s="245" t="s">
        <v>14</v>
      </c>
      <c r="J8" s="13" t="s">
        <v>50</v>
      </c>
      <c r="K8" s="24" t="s">
        <v>385</v>
      </c>
      <c r="L8" s="26"/>
      <c r="M8" s="563" t="s">
        <v>431</v>
      </c>
      <c r="N8" s="276"/>
      <c r="O8" s="277"/>
      <c r="P8" s="266">
        <v>2</v>
      </c>
      <c r="Q8" s="490">
        <v>0</v>
      </c>
      <c r="R8" s="490">
        <v>1</v>
      </c>
      <c r="S8" s="490">
        <v>1</v>
      </c>
      <c r="T8" s="490">
        <v>0</v>
      </c>
      <c r="U8" s="490">
        <v>0</v>
      </c>
      <c r="V8" s="490">
        <v>1</v>
      </c>
      <c r="W8" s="490">
        <v>1</v>
      </c>
      <c r="X8" s="490">
        <v>0</v>
      </c>
      <c r="Y8" s="490">
        <v>0</v>
      </c>
      <c r="Z8" s="490">
        <v>0</v>
      </c>
      <c r="AA8" s="490">
        <v>0</v>
      </c>
      <c r="AB8" s="490">
        <v>1</v>
      </c>
      <c r="AC8" s="490">
        <v>0</v>
      </c>
      <c r="AD8" s="490">
        <v>0</v>
      </c>
      <c r="AE8" s="490">
        <v>0</v>
      </c>
      <c r="AF8" s="490">
        <v>0</v>
      </c>
      <c r="AG8" s="490">
        <v>0</v>
      </c>
      <c r="AH8" s="490">
        <v>0</v>
      </c>
      <c r="AI8" s="490">
        <v>0</v>
      </c>
      <c r="AJ8" s="490">
        <v>0</v>
      </c>
      <c r="AK8" s="68" t="s">
        <v>349</v>
      </c>
    </row>
    <row r="9" spans="1:37" s="3" customFormat="1" ht="15.75" x14ac:dyDescent="0.2">
      <c r="A9" s="67">
        <v>5</v>
      </c>
      <c r="B9" s="472" t="s">
        <v>108</v>
      </c>
      <c r="C9" s="45" t="s">
        <v>333</v>
      </c>
      <c r="D9" s="88" t="s">
        <v>215</v>
      </c>
      <c r="E9" s="98">
        <v>42899</v>
      </c>
      <c r="F9" s="231" t="s">
        <v>14</v>
      </c>
      <c r="G9" s="230" t="s">
        <v>105</v>
      </c>
      <c r="H9" s="229" t="s">
        <v>109</v>
      </c>
      <c r="I9" s="266" t="s">
        <v>14</v>
      </c>
      <c r="J9" s="441" t="s">
        <v>99</v>
      </c>
      <c r="K9" s="456"/>
      <c r="L9" s="495">
        <v>2</v>
      </c>
      <c r="M9" s="563" t="s">
        <v>431</v>
      </c>
      <c r="N9" s="490"/>
      <c r="O9" s="496"/>
      <c r="P9" s="266"/>
      <c r="Q9" s="490">
        <v>1</v>
      </c>
      <c r="R9" s="490">
        <v>1</v>
      </c>
      <c r="S9" s="490">
        <v>1</v>
      </c>
      <c r="T9" s="490">
        <v>1</v>
      </c>
      <c r="U9" s="490">
        <v>1</v>
      </c>
      <c r="V9" s="490"/>
      <c r="W9" s="490">
        <v>1</v>
      </c>
      <c r="X9" s="490"/>
      <c r="Y9" s="490"/>
      <c r="Z9" s="490"/>
      <c r="AA9" s="490"/>
      <c r="AB9" s="490">
        <v>1</v>
      </c>
      <c r="AC9" s="490"/>
      <c r="AD9" s="490"/>
      <c r="AE9" s="490"/>
      <c r="AF9" s="490"/>
      <c r="AG9" s="490"/>
      <c r="AH9" s="490">
        <v>1</v>
      </c>
      <c r="AI9" s="490"/>
      <c r="AJ9" s="490"/>
      <c r="AK9" s="68" t="s">
        <v>350</v>
      </c>
    </row>
    <row r="10" spans="1:37" s="3" customFormat="1" ht="15.75" x14ac:dyDescent="0.2">
      <c r="A10" s="69">
        <v>6</v>
      </c>
      <c r="B10" s="472" t="s">
        <v>118</v>
      </c>
      <c r="C10" s="45" t="s">
        <v>334</v>
      </c>
      <c r="D10" s="87" t="s">
        <v>215</v>
      </c>
      <c r="E10" s="98">
        <v>42899</v>
      </c>
      <c r="F10" s="226" t="s">
        <v>14</v>
      </c>
      <c r="G10" s="227" t="s">
        <v>105</v>
      </c>
      <c r="H10" s="228"/>
      <c r="I10" s="266" t="s">
        <v>14</v>
      </c>
      <c r="J10" s="441" t="s">
        <v>99</v>
      </c>
      <c r="K10" s="24"/>
      <c r="L10" s="495">
        <v>2</v>
      </c>
      <c r="M10" s="563" t="s">
        <v>431</v>
      </c>
      <c r="N10" s="490"/>
      <c r="O10" s="496"/>
      <c r="P10" s="266"/>
      <c r="Q10" s="490">
        <v>0</v>
      </c>
      <c r="R10" s="490">
        <v>1</v>
      </c>
      <c r="S10" s="490">
        <v>1</v>
      </c>
      <c r="T10" s="490">
        <v>1</v>
      </c>
      <c r="U10" s="490">
        <v>1</v>
      </c>
      <c r="V10" s="490"/>
      <c r="W10" s="490">
        <v>1</v>
      </c>
      <c r="X10" s="490"/>
      <c r="Y10" s="490"/>
      <c r="Z10" s="490"/>
      <c r="AA10" s="490"/>
      <c r="AB10" s="490">
        <v>1</v>
      </c>
      <c r="AC10" s="490"/>
      <c r="AD10" s="490"/>
      <c r="AE10" s="490"/>
      <c r="AF10" s="490"/>
      <c r="AG10" s="490"/>
      <c r="AH10" s="490">
        <v>1</v>
      </c>
      <c r="AI10" s="490"/>
      <c r="AJ10" s="490"/>
      <c r="AK10" s="68" t="s">
        <v>350</v>
      </c>
    </row>
    <row r="11" spans="1:37" s="3" customFormat="1" ht="51" x14ac:dyDescent="0.2">
      <c r="A11" s="67">
        <v>7</v>
      </c>
      <c r="B11" s="472" t="s">
        <v>122</v>
      </c>
      <c r="C11" s="45" t="s">
        <v>335</v>
      </c>
      <c r="D11" s="87" t="s">
        <v>215</v>
      </c>
      <c r="E11" s="98">
        <v>42899</v>
      </c>
      <c r="F11" s="226" t="s">
        <v>14</v>
      </c>
      <c r="G11" s="227" t="s">
        <v>99</v>
      </c>
      <c r="H11" s="228"/>
      <c r="I11" s="266" t="s">
        <v>14</v>
      </c>
      <c r="J11" s="441" t="s">
        <v>75</v>
      </c>
      <c r="K11" s="584" t="s">
        <v>438</v>
      </c>
      <c r="L11" s="203">
        <v>12</v>
      </c>
      <c r="M11" s="563" t="s">
        <v>431</v>
      </c>
      <c r="N11" s="314"/>
      <c r="O11" s="407"/>
      <c r="P11" s="245">
        <v>1</v>
      </c>
      <c r="Q11" s="6"/>
      <c r="R11" s="6">
        <v>1</v>
      </c>
      <c r="S11" s="6">
        <v>1</v>
      </c>
      <c r="T11" s="6">
        <v>1</v>
      </c>
      <c r="U11" s="6"/>
      <c r="V11" s="6"/>
      <c r="W11" s="6" t="s">
        <v>351</v>
      </c>
      <c r="X11" s="6" t="s">
        <v>352</v>
      </c>
      <c r="Y11" s="6" t="s">
        <v>351</v>
      </c>
      <c r="Z11" s="6">
        <v>1</v>
      </c>
      <c r="AA11" s="6"/>
      <c r="AB11" s="6">
        <v>1</v>
      </c>
      <c r="AC11" s="6"/>
      <c r="AD11" s="6">
        <v>1</v>
      </c>
      <c r="AE11" s="6"/>
      <c r="AF11" s="6"/>
      <c r="AG11" s="6"/>
      <c r="AH11" s="6" t="s">
        <v>351</v>
      </c>
      <c r="AI11" s="6"/>
      <c r="AJ11" s="6"/>
      <c r="AK11" s="448" t="s">
        <v>353</v>
      </c>
    </row>
    <row r="12" spans="1:37" s="3" customFormat="1" ht="15.75" x14ac:dyDescent="0.2">
      <c r="A12" s="69">
        <v>8</v>
      </c>
      <c r="B12" s="472" t="s">
        <v>74</v>
      </c>
      <c r="C12" s="45" t="s">
        <v>336</v>
      </c>
      <c r="D12" s="92" t="s">
        <v>213</v>
      </c>
      <c r="E12" s="98">
        <v>42899</v>
      </c>
      <c r="F12" s="231" t="s">
        <v>14</v>
      </c>
      <c r="G12" s="230" t="s">
        <v>75</v>
      </c>
      <c r="H12" s="229"/>
      <c r="I12" s="245" t="s">
        <v>14</v>
      </c>
      <c r="J12" s="13" t="s">
        <v>48</v>
      </c>
      <c r="K12" s="456" t="s">
        <v>306</v>
      </c>
      <c r="L12" s="465"/>
      <c r="M12" s="563" t="s">
        <v>431</v>
      </c>
      <c r="N12" s="466"/>
      <c r="O12" s="467"/>
      <c r="P12" s="266">
        <v>1</v>
      </c>
      <c r="Q12" s="490">
        <v>0</v>
      </c>
      <c r="R12" s="490">
        <v>1</v>
      </c>
      <c r="S12" s="490">
        <v>1</v>
      </c>
      <c r="T12" s="490">
        <v>0</v>
      </c>
      <c r="U12" s="490">
        <v>0</v>
      </c>
      <c r="V12" s="490">
        <v>1</v>
      </c>
      <c r="W12" s="490">
        <v>1</v>
      </c>
      <c r="X12" s="490">
        <v>0</v>
      </c>
      <c r="Y12" s="490">
        <v>1</v>
      </c>
      <c r="Z12" s="490">
        <v>1</v>
      </c>
      <c r="AA12" s="490">
        <v>1</v>
      </c>
      <c r="AB12" s="490">
        <v>1</v>
      </c>
      <c r="AC12" s="490">
        <v>0</v>
      </c>
      <c r="AD12" s="490">
        <v>0</v>
      </c>
      <c r="AE12" s="490">
        <v>0</v>
      </c>
      <c r="AF12" s="490">
        <v>0</v>
      </c>
      <c r="AG12" s="490">
        <v>0</v>
      </c>
      <c r="AH12" s="490">
        <v>1</v>
      </c>
      <c r="AI12" s="490">
        <v>0</v>
      </c>
      <c r="AJ12" s="490">
        <v>1</v>
      </c>
      <c r="AK12" s="79"/>
    </row>
    <row r="13" spans="1:37" s="3" customFormat="1" ht="38.25" x14ac:dyDescent="0.2">
      <c r="A13" s="67">
        <v>9</v>
      </c>
      <c r="B13" s="481" t="s">
        <v>94</v>
      </c>
      <c r="C13" s="222" t="s">
        <v>337</v>
      </c>
      <c r="D13" s="243" t="s">
        <v>213</v>
      </c>
      <c r="E13" s="98">
        <v>42899</v>
      </c>
      <c r="F13" s="231" t="s">
        <v>14</v>
      </c>
      <c r="G13" s="230" t="s">
        <v>95</v>
      </c>
      <c r="H13" s="229"/>
      <c r="I13" s="246" t="s">
        <v>14</v>
      </c>
      <c r="J13" s="261" t="s">
        <v>48</v>
      </c>
      <c r="K13" s="456" t="s">
        <v>304</v>
      </c>
      <c r="L13" s="495">
        <v>2</v>
      </c>
      <c r="M13" s="563" t="s">
        <v>431</v>
      </c>
      <c r="N13" s="490">
        <v>1</v>
      </c>
      <c r="O13" s="496">
        <v>1</v>
      </c>
      <c r="P13" s="497">
        <v>1</v>
      </c>
      <c r="Q13" s="498"/>
      <c r="R13" s="498">
        <v>1</v>
      </c>
      <c r="S13" s="498">
        <v>1</v>
      </c>
      <c r="T13" s="498"/>
      <c r="U13" s="498"/>
      <c r="V13" s="498">
        <v>1</v>
      </c>
      <c r="W13" s="498">
        <v>1</v>
      </c>
      <c r="X13" s="498"/>
      <c r="Y13" s="498"/>
      <c r="Z13" s="498">
        <v>4</v>
      </c>
      <c r="AA13" s="498"/>
      <c r="AB13" s="498">
        <v>1</v>
      </c>
      <c r="AC13" s="498"/>
      <c r="AD13" s="498"/>
      <c r="AE13" s="498"/>
      <c r="AF13" s="498"/>
      <c r="AG13" s="498"/>
      <c r="AH13" s="498"/>
      <c r="AI13" s="498"/>
      <c r="AJ13" s="498"/>
      <c r="AK13" s="499" t="s">
        <v>308</v>
      </c>
    </row>
    <row r="14" spans="1:37" s="3" customFormat="1" ht="15.75" x14ac:dyDescent="0.2">
      <c r="A14" s="69">
        <v>10</v>
      </c>
      <c r="B14" s="472" t="s">
        <v>106</v>
      </c>
      <c r="C14" s="45" t="s">
        <v>338</v>
      </c>
      <c r="D14" s="87" t="s">
        <v>215</v>
      </c>
      <c r="E14" s="98">
        <v>42899</v>
      </c>
      <c r="F14" s="278" t="s">
        <v>7</v>
      </c>
      <c r="G14" s="279" t="s">
        <v>17</v>
      </c>
      <c r="H14" s="280"/>
      <c r="I14" s="266" t="s">
        <v>14</v>
      </c>
      <c r="J14" s="441" t="s">
        <v>75</v>
      </c>
      <c r="K14" s="24" t="s">
        <v>343</v>
      </c>
      <c r="L14" s="26">
        <v>10</v>
      </c>
      <c r="M14" s="563" t="s">
        <v>431</v>
      </c>
      <c r="N14" s="276"/>
      <c r="O14" s="277"/>
      <c r="P14" s="275">
        <v>1</v>
      </c>
      <c r="Q14" s="8"/>
      <c r="R14" s="8">
        <v>1</v>
      </c>
      <c r="S14" s="8">
        <v>1</v>
      </c>
      <c r="T14" s="8">
        <v>1</v>
      </c>
      <c r="U14" s="8"/>
      <c r="V14" s="8"/>
      <c r="W14" s="8"/>
      <c r="X14" s="8"/>
      <c r="Y14" s="8"/>
      <c r="Z14" s="8">
        <v>2</v>
      </c>
      <c r="AA14" s="8">
        <v>1</v>
      </c>
      <c r="AB14" s="8">
        <v>1</v>
      </c>
      <c r="AC14" s="8"/>
      <c r="AD14" s="8"/>
      <c r="AE14" s="8"/>
      <c r="AF14" s="8"/>
      <c r="AG14" s="8"/>
      <c r="AH14" s="8">
        <v>1</v>
      </c>
      <c r="AI14" s="8"/>
      <c r="AJ14" s="8"/>
      <c r="AK14" s="79" t="s">
        <v>342</v>
      </c>
    </row>
    <row r="15" spans="1:37" s="70" customFormat="1" ht="15.75" x14ac:dyDescent="0.2">
      <c r="A15" s="122"/>
      <c r="B15" s="167"/>
      <c r="C15" s="186"/>
      <c r="D15" s="187"/>
      <c r="E15" s="126"/>
      <c r="F15" s="263"/>
      <c r="G15" s="263"/>
      <c r="H15" s="270"/>
      <c r="I15" s="267"/>
      <c r="J15" s="188"/>
      <c r="K15" s="273"/>
      <c r="L15" s="130"/>
      <c r="M15" s="267"/>
      <c r="N15" s="263"/>
      <c r="O15" s="264"/>
      <c r="P15" s="267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91"/>
    </row>
    <row r="16" spans="1:37" s="70" customFormat="1" ht="16.5" thickBot="1" x14ac:dyDescent="0.25">
      <c r="A16" s="107"/>
      <c r="B16" s="167"/>
      <c r="C16" s="186"/>
      <c r="D16" s="187"/>
      <c r="E16" s="271"/>
      <c r="F16" s="211"/>
      <c r="G16" s="211"/>
      <c r="H16" s="272"/>
      <c r="I16" s="267"/>
      <c r="J16" s="188"/>
      <c r="K16" s="274"/>
      <c r="L16" s="204"/>
      <c r="M16" s="561"/>
      <c r="N16" s="211"/>
      <c r="O16" s="212"/>
      <c r="P16" s="267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97"/>
    </row>
    <row r="17" spans="2:142" x14ac:dyDescent="0.2">
      <c r="B17" s="17"/>
      <c r="C17" s="17"/>
      <c r="O17" s="2" t="s">
        <v>191</v>
      </c>
      <c r="P17" s="42">
        <f t="shared" ref="P17:AJ17" si="0">SUM(P14:P16)</f>
        <v>1</v>
      </c>
      <c r="Q17" s="42">
        <f t="shared" si="0"/>
        <v>0</v>
      </c>
      <c r="R17" s="42">
        <f t="shared" si="0"/>
        <v>1</v>
      </c>
      <c r="S17" s="42">
        <f t="shared" si="0"/>
        <v>1</v>
      </c>
      <c r="T17" s="42">
        <f t="shared" si="0"/>
        <v>1</v>
      </c>
      <c r="U17" s="42">
        <f t="shared" si="0"/>
        <v>0</v>
      </c>
      <c r="V17" s="42">
        <f t="shared" si="0"/>
        <v>0</v>
      </c>
      <c r="W17" s="42">
        <f t="shared" si="0"/>
        <v>0</v>
      </c>
      <c r="X17" s="42">
        <f t="shared" si="0"/>
        <v>0</v>
      </c>
      <c r="Y17" s="42">
        <f t="shared" si="0"/>
        <v>0</v>
      </c>
      <c r="Z17" s="42">
        <f t="shared" si="0"/>
        <v>2</v>
      </c>
      <c r="AA17" s="42">
        <f t="shared" si="0"/>
        <v>1</v>
      </c>
      <c r="AB17" s="42">
        <f t="shared" si="0"/>
        <v>1</v>
      </c>
      <c r="AC17" s="42">
        <f t="shared" si="0"/>
        <v>0</v>
      </c>
      <c r="AD17" s="42">
        <f t="shared" si="0"/>
        <v>0</v>
      </c>
      <c r="AE17" s="42">
        <f t="shared" si="0"/>
        <v>0</v>
      </c>
      <c r="AF17" s="42">
        <f t="shared" si="0"/>
        <v>0</v>
      </c>
      <c r="AG17" s="42">
        <f t="shared" si="0"/>
        <v>0</v>
      </c>
      <c r="AH17" s="42">
        <f t="shared" si="0"/>
        <v>1</v>
      </c>
      <c r="AI17" s="42">
        <f t="shared" si="0"/>
        <v>0</v>
      </c>
      <c r="AJ17" s="42">
        <f t="shared" si="0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</row>
    <row r="21" spans="2:142" x14ac:dyDescent="0.2">
      <c r="AG21" s="514"/>
    </row>
    <row r="22" spans="2:142" x14ac:dyDescent="0.2">
      <c r="AG22" s="514"/>
    </row>
    <row r="23" spans="2:142" x14ac:dyDescent="0.2">
      <c r="AG23" s="514"/>
    </row>
    <row r="24" spans="2:142" x14ac:dyDescent="0.2">
      <c r="AG24" s="514"/>
    </row>
    <row r="25" spans="2:142" x14ac:dyDescent="0.2">
      <c r="AG25" s="514"/>
    </row>
  </sheetData>
  <mergeCells count="6">
    <mergeCell ref="A1:AK1"/>
    <mergeCell ref="A2:AK2"/>
    <mergeCell ref="E3:H3"/>
    <mergeCell ref="I3:K3"/>
    <mergeCell ref="L3:O3"/>
    <mergeCell ref="P3:AK3"/>
  </mergeCells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EK12"/>
  <sheetViews>
    <sheetView showGridLines="0" zoomScale="80" zoomScaleNormal="80" zoomScaleSheetLayoutView="84" workbookViewId="0">
      <pane ySplit="4" topLeftCell="A5" activePane="bottomLeft" state="frozen"/>
      <selection pane="bottomLeft" activeCell="J17" sqref="J17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4" width="9.140625" style="2" customWidth="1"/>
    <col min="15" max="35" width="4.7109375" style="2" customWidth="1"/>
    <col min="36" max="36" width="52.5703125" style="2" customWidth="1"/>
    <col min="37" max="141" width="11.42578125" style="3"/>
    <col min="142" max="16384" width="11.42578125" style="1"/>
  </cols>
  <sheetData>
    <row r="1" spans="1:141" ht="30.75" customHeight="1" thickBot="1" x14ac:dyDescent="0.25">
      <c r="A1" s="629" t="s">
        <v>272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1"/>
      <c r="AJ1" s="632"/>
    </row>
    <row r="2" spans="1:141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5"/>
      <c r="AJ2" s="636"/>
    </row>
    <row r="3" spans="1:141" ht="13.5" thickBot="1" x14ac:dyDescent="0.25">
      <c r="A3" s="37"/>
      <c r="B3" s="35"/>
      <c r="C3" s="39"/>
      <c r="D3" s="90"/>
      <c r="E3" s="637" t="s">
        <v>5</v>
      </c>
      <c r="F3" s="638"/>
      <c r="G3" s="638"/>
      <c r="H3" s="639"/>
      <c r="I3" s="640" t="s">
        <v>11</v>
      </c>
      <c r="J3" s="640"/>
      <c r="K3" s="640"/>
      <c r="L3" s="641" t="s">
        <v>237</v>
      </c>
      <c r="M3" s="640"/>
      <c r="N3" s="642"/>
      <c r="O3" s="640" t="s">
        <v>189</v>
      </c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2"/>
    </row>
    <row r="4" spans="1:141" s="3" customFormat="1" ht="141.75" customHeight="1" thickBot="1" x14ac:dyDescent="0.25">
      <c r="A4" s="20" t="s">
        <v>0</v>
      </c>
      <c r="B4" s="36" t="s">
        <v>1</v>
      </c>
      <c r="C4" s="21" t="s">
        <v>184</v>
      </c>
      <c r="D4" s="91" t="s">
        <v>6</v>
      </c>
      <c r="E4" s="20" t="s">
        <v>2</v>
      </c>
      <c r="F4" s="55" t="s">
        <v>3</v>
      </c>
      <c r="G4" s="61" t="s">
        <v>235</v>
      </c>
      <c r="H4" s="11" t="s">
        <v>10</v>
      </c>
      <c r="I4" s="23" t="s">
        <v>12</v>
      </c>
      <c r="J4" s="96" t="s">
        <v>236</v>
      </c>
      <c r="K4" s="97" t="s">
        <v>240</v>
      </c>
      <c r="L4" s="94" t="s">
        <v>185</v>
      </c>
      <c r="M4" s="31" t="s">
        <v>186</v>
      </c>
      <c r="N4" s="95" t="s">
        <v>187</v>
      </c>
      <c r="O4" s="93" t="s">
        <v>163</v>
      </c>
      <c r="P4" s="32" t="s">
        <v>164</v>
      </c>
      <c r="Q4" s="32" t="s">
        <v>165</v>
      </c>
      <c r="R4" s="32" t="s">
        <v>166</v>
      </c>
      <c r="S4" s="32" t="s">
        <v>167</v>
      </c>
      <c r="T4" s="32" t="s">
        <v>168</v>
      </c>
      <c r="U4" s="32" t="s">
        <v>169</v>
      </c>
      <c r="V4" s="32" t="s">
        <v>170</v>
      </c>
      <c r="W4" s="32" t="s">
        <v>171</v>
      </c>
      <c r="X4" s="32" t="s">
        <v>172</v>
      </c>
      <c r="Y4" s="32" t="s">
        <v>173</v>
      </c>
      <c r="Z4" s="32" t="s">
        <v>174</v>
      </c>
      <c r="AA4" s="32" t="s">
        <v>175</v>
      </c>
      <c r="AB4" s="32" t="s">
        <v>176</v>
      </c>
      <c r="AC4" s="32" t="s">
        <v>177</v>
      </c>
      <c r="AD4" s="32" t="s">
        <v>178</v>
      </c>
      <c r="AE4" s="32" t="s">
        <v>179</v>
      </c>
      <c r="AF4" s="32" t="s">
        <v>180</v>
      </c>
      <c r="AG4" s="32" t="s">
        <v>181</v>
      </c>
      <c r="AH4" s="32" t="s">
        <v>182</v>
      </c>
      <c r="AI4" s="33" t="s">
        <v>183</v>
      </c>
      <c r="AJ4" s="34" t="s">
        <v>190</v>
      </c>
    </row>
    <row r="5" spans="1:141" s="3" customFormat="1" ht="15.75" x14ac:dyDescent="0.2">
      <c r="A5" s="107"/>
      <c r="B5" s="123"/>
      <c r="C5" s="124"/>
      <c r="D5" s="125"/>
      <c r="E5" s="126"/>
      <c r="F5" s="152"/>
      <c r="G5" s="152"/>
      <c r="H5" s="169"/>
      <c r="I5" s="170"/>
      <c r="J5" s="171"/>
      <c r="K5" s="174"/>
      <c r="L5" s="164"/>
      <c r="M5" s="173"/>
      <c r="N5" s="174"/>
      <c r="O5" s="175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8"/>
    </row>
    <row r="6" spans="1:141" s="44" customFormat="1" ht="15.75" x14ac:dyDescent="0.2">
      <c r="A6" s="122"/>
      <c r="B6" s="179" t="s">
        <v>290</v>
      </c>
      <c r="C6" s="180"/>
      <c r="D6" s="181"/>
      <c r="E6" s="111"/>
      <c r="F6" s="120"/>
      <c r="G6" s="120"/>
      <c r="H6" s="114"/>
      <c r="I6" s="182"/>
      <c r="J6" s="183"/>
      <c r="K6" s="100"/>
      <c r="L6" s="119"/>
      <c r="M6" s="120"/>
      <c r="N6" s="184"/>
      <c r="O6" s="119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85"/>
    </row>
    <row r="7" spans="1:141" s="70" customFormat="1" ht="31.5" x14ac:dyDescent="0.2">
      <c r="A7" s="107"/>
      <c r="B7" s="167" t="s">
        <v>291</v>
      </c>
      <c r="C7" s="186"/>
      <c r="D7" s="187"/>
      <c r="E7" s="111"/>
      <c r="F7" s="134"/>
      <c r="G7" s="134"/>
      <c r="H7" s="129"/>
      <c r="I7" s="130"/>
      <c r="J7" s="188"/>
      <c r="K7" s="189"/>
      <c r="L7" s="133"/>
      <c r="M7" s="134"/>
      <c r="N7" s="190"/>
      <c r="O7" s="133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91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</row>
    <row r="8" spans="1:141" s="3" customFormat="1" ht="15.75" x14ac:dyDescent="0.2">
      <c r="A8" s="122"/>
      <c r="B8" s="167"/>
      <c r="C8" s="124"/>
      <c r="D8" s="125"/>
      <c r="E8" s="111"/>
      <c r="F8" s="152"/>
      <c r="G8" s="152"/>
      <c r="H8" s="169"/>
      <c r="I8" s="170"/>
      <c r="J8" s="192"/>
      <c r="K8" s="101"/>
      <c r="L8" s="164"/>
      <c r="M8" s="173"/>
      <c r="N8" s="174"/>
      <c r="O8" s="175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93"/>
    </row>
    <row r="9" spans="1:141" s="3" customFormat="1" ht="15.75" x14ac:dyDescent="0.2">
      <c r="A9" s="107"/>
      <c r="B9" s="123"/>
      <c r="C9" s="124"/>
      <c r="D9" s="125"/>
      <c r="E9" s="126"/>
      <c r="F9" s="152"/>
      <c r="G9" s="152"/>
      <c r="H9" s="169"/>
      <c r="I9" s="170"/>
      <c r="J9" s="192"/>
      <c r="K9" s="101"/>
      <c r="L9" s="133"/>
      <c r="M9" s="152"/>
      <c r="N9" s="194"/>
      <c r="O9" s="195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96"/>
    </row>
    <row r="10" spans="1:141" s="70" customFormat="1" ht="15.75" x14ac:dyDescent="0.2">
      <c r="A10" s="122"/>
      <c r="B10" s="167"/>
      <c r="C10" s="186"/>
      <c r="D10" s="187"/>
      <c r="E10" s="126"/>
      <c r="F10" s="134"/>
      <c r="G10" s="134"/>
      <c r="H10" s="129"/>
      <c r="I10" s="130"/>
      <c r="J10" s="188"/>
      <c r="K10" s="102"/>
      <c r="L10" s="133"/>
      <c r="M10" s="134"/>
      <c r="N10" s="132"/>
      <c r="O10" s="133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91"/>
    </row>
    <row r="11" spans="1:141" s="70" customFormat="1" ht="15.75" x14ac:dyDescent="0.2">
      <c r="A11" s="107"/>
      <c r="B11" s="167"/>
      <c r="C11" s="186"/>
      <c r="D11" s="187"/>
      <c r="E11" s="126"/>
      <c r="F11" s="134"/>
      <c r="G11" s="134"/>
      <c r="H11" s="129"/>
      <c r="I11" s="130"/>
      <c r="J11" s="188"/>
      <c r="K11" s="103"/>
      <c r="L11" s="133"/>
      <c r="M11" s="134"/>
      <c r="N11" s="132"/>
      <c r="O11" s="133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97"/>
    </row>
    <row r="12" spans="1:141" x14ac:dyDescent="0.2">
      <c r="B12" s="17"/>
      <c r="C12" s="17"/>
      <c r="N12" s="2" t="s">
        <v>191</v>
      </c>
      <c r="O12" s="42">
        <f t="shared" ref="O12:AI12" si="0">SUM(O5:O11)</f>
        <v>0</v>
      </c>
      <c r="P12" s="42">
        <f t="shared" si="0"/>
        <v>0</v>
      </c>
      <c r="Q12" s="42">
        <f t="shared" si="0"/>
        <v>0</v>
      </c>
      <c r="R12" s="42">
        <f t="shared" si="0"/>
        <v>0</v>
      </c>
      <c r="S12" s="42">
        <f t="shared" si="0"/>
        <v>0</v>
      </c>
      <c r="T12" s="42">
        <f t="shared" si="0"/>
        <v>0</v>
      </c>
      <c r="U12" s="42">
        <f t="shared" si="0"/>
        <v>0</v>
      </c>
      <c r="V12" s="42">
        <f t="shared" si="0"/>
        <v>0</v>
      </c>
      <c r="W12" s="42">
        <f t="shared" si="0"/>
        <v>0</v>
      </c>
      <c r="X12" s="42">
        <f t="shared" si="0"/>
        <v>0</v>
      </c>
      <c r="Y12" s="42">
        <f t="shared" si="0"/>
        <v>0</v>
      </c>
      <c r="Z12" s="42">
        <f t="shared" si="0"/>
        <v>0</v>
      </c>
      <c r="AA12" s="42">
        <f t="shared" si="0"/>
        <v>0</v>
      </c>
      <c r="AB12" s="42">
        <f t="shared" si="0"/>
        <v>0</v>
      </c>
      <c r="AC12" s="42">
        <f t="shared" si="0"/>
        <v>0</v>
      </c>
      <c r="AD12" s="42">
        <f t="shared" si="0"/>
        <v>0</v>
      </c>
      <c r="AE12" s="42">
        <f t="shared" si="0"/>
        <v>0</v>
      </c>
      <c r="AF12" s="42">
        <f t="shared" si="0"/>
        <v>0</v>
      </c>
      <c r="AG12" s="42">
        <f t="shared" si="0"/>
        <v>0</v>
      </c>
      <c r="AH12" s="42">
        <f t="shared" si="0"/>
        <v>0</v>
      </c>
      <c r="AI12" s="42">
        <f t="shared" si="0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</sheetData>
  <mergeCells count="6">
    <mergeCell ref="A1:AJ1"/>
    <mergeCell ref="A2:AJ2"/>
    <mergeCell ref="E3:H3"/>
    <mergeCell ref="I3:K3"/>
    <mergeCell ref="L3:N3"/>
    <mergeCell ref="O3:AJ3"/>
  </mergeCells>
  <conditionalFormatting sqref="K7:AI7">
    <cfRule type="cellIs" dxfId="231" priority="3" stopIfTrue="1" operator="equal">
      <formula>"neu"</formula>
    </cfRule>
  </conditionalFormatting>
  <conditionalFormatting sqref="K8">
    <cfRule type="cellIs" dxfId="230" priority="2" stopIfTrue="1" operator="equal">
      <formula>"neu"</formula>
    </cfRule>
  </conditionalFormatting>
  <conditionalFormatting sqref="K9">
    <cfRule type="cellIs" dxfId="229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EL25"/>
  <sheetViews>
    <sheetView showGridLines="0" zoomScale="80" zoomScaleNormal="80" zoomScaleSheetLayoutView="84" workbookViewId="0">
      <pane ySplit="4" topLeftCell="A5" activePane="bottomLeft" state="frozen"/>
      <selection pane="bottomLeft" activeCell="M21" sqref="M21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4" style="2" customWidth="1"/>
    <col min="9" max="9" width="7.140625" style="2" customWidth="1"/>
    <col min="10" max="10" width="10.28515625" style="1" bestFit="1" customWidth="1"/>
    <col min="11" max="11" width="17.7109375" style="2" customWidth="1"/>
    <col min="12" max="15" width="9.140625" style="2" customWidth="1"/>
    <col min="16" max="36" width="4.7109375" style="2" customWidth="1"/>
    <col min="37" max="37" width="52.5703125" style="2" customWidth="1"/>
    <col min="38" max="142" width="11.42578125" style="3"/>
    <col min="143" max="16384" width="11.42578125" style="1"/>
  </cols>
  <sheetData>
    <row r="1" spans="1:38" ht="30.75" customHeight="1" thickBot="1" x14ac:dyDescent="0.25">
      <c r="A1" s="629" t="s">
        <v>272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1"/>
      <c r="AK1" s="632"/>
    </row>
    <row r="2" spans="1:38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5"/>
      <c r="AK2" s="636"/>
    </row>
    <row r="3" spans="1:38" ht="13.5" thickBot="1" x14ac:dyDescent="0.25">
      <c r="A3" s="37"/>
      <c r="B3" s="35"/>
      <c r="C3" s="39"/>
      <c r="D3" s="90"/>
      <c r="E3" s="637" t="s">
        <v>5</v>
      </c>
      <c r="F3" s="638"/>
      <c r="G3" s="638"/>
      <c r="H3" s="639"/>
      <c r="I3" s="640" t="s">
        <v>11</v>
      </c>
      <c r="J3" s="640"/>
      <c r="K3" s="640"/>
      <c r="L3" s="641" t="s">
        <v>237</v>
      </c>
      <c r="M3" s="640"/>
      <c r="N3" s="640"/>
      <c r="O3" s="642"/>
      <c r="P3" s="640" t="s">
        <v>189</v>
      </c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2"/>
    </row>
    <row r="4" spans="1:38" s="3" customFormat="1" ht="141.75" customHeight="1" thickBot="1" x14ac:dyDescent="0.25">
      <c r="A4" s="20" t="s">
        <v>0</v>
      </c>
      <c r="B4" s="53" t="s">
        <v>1</v>
      </c>
      <c r="C4" s="54" t="s">
        <v>184</v>
      </c>
      <c r="D4" s="306" t="s">
        <v>6</v>
      </c>
      <c r="E4" s="479" t="s">
        <v>2</v>
      </c>
      <c r="F4" s="480" t="s">
        <v>3</v>
      </c>
      <c r="G4" s="283" t="s">
        <v>235</v>
      </c>
      <c r="H4" s="11" t="s">
        <v>10</v>
      </c>
      <c r="I4" s="57" t="s">
        <v>12</v>
      </c>
      <c r="J4" s="307" t="s">
        <v>236</v>
      </c>
      <c r="K4" s="308" t="s">
        <v>240</v>
      </c>
      <c r="L4" s="309" t="s">
        <v>185</v>
      </c>
      <c r="M4" s="60" t="s">
        <v>429</v>
      </c>
      <c r="N4" s="61" t="s">
        <v>186</v>
      </c>
      <c r="O4" s="414" t="s">
        <v>187</v>
      </c>
      <c r="P4" s="93" t="s">
        <v>163</v>
      </c>
      <c r="Q4" s="32" t="s">
        <v>164</v>
      </c>
      <c r="R4" s="32" t="s">
        <v>165</v>
      </c>
      <c r="S4" s="32" t="s">
        <v>166</v>
      </c>
      <c r="T4" s="32" t="s">
        <v>167</v>
      </c>
      <c r="U4" s="32" t="s">
        <v>168</v>
      </c>
      <c r="V4" s="32" t="s">
        <v>169</v>
      </c>
      <c r="W4" s="32" t="s">
        <v>170</v>
      </c>
      <c r="X4" s="32" t="s">
        <v>171</v>
      </c>
      <c r="Y4" s="32" t="s">
        <v>172</v>
      </c>
      <c r="Z4" s="32" t="s">
        <v>173</v>
      </c>
      <c r="AA4" s="32" t="s">
        <v>174</v>
      </c>
      <c r="AB4" s="32" t="s">
        <v>175</v>
      </c>
      <c r="AC4" s="32" t="s">
        <v>176</v>
      </c>
      <c r="AD4" s="32" t="s">
        <v>177</v>
      </c>
      <c r="AE4" s="32" t="s">
        <v>178</v>
      </c>
      <c r="AF4" s="32" t="s">
        <v>179</v>
      </c>
      <c r="AG4" s="32" t="s">
        <v>180</v>
      </c>
      <c r="AH4" s="32" t="s">
        <v>181</v>
      </c>
      <c r="AI4" s="32" t="s">
        <v>182</v>
      </c>
      <c r="AJ4" s="33" t="s">
        <v>183</v>
      </c>
      <c r="AK4" s="34" t="s">
        <v>190</v>
      </c>
    </row>
    <row r="5" spans="1:38" s="44" customFormat="1" ht="51" x14ac:dyDescent="0.2">
      <c r="A5" s="568">
        <v>1</v>
      </c>
      <c r="B5" s="384" t="s">
        <v>220</v>
      </c>
      <c r="C5" s="385" t="s">
        <v>194</v>
      </c>
      <c r="D5" s="386" t="s">
        <v>35</v>
      </c>
      <c r="E5" s="553">
        <v>42914</v>
      </c>
      <c r="F5" s="554" t="s">
        <v>14</v>
      </c>
      <c r="G5" s="554">
        <v>146</v>
      </c>
      <c r="H5" s="555"/>
      <c r="I5" s="403" t="s">
        <v>7</v>
      </c>
      <c r="J5" s="404">
        <v>732</v>
      </c>
      <c r="K5" s="378" t="s">
        <v>385</v>
      </c>
      <c r="L5" s="435">
        <v>15</v>
      </c>
      <c r="M5" s="560" t="s">
        <v>431</v>
      </c>
      <c r="N5" s="248"/>
      <c r="O5" s="526"/>
      <c r="P5" s="527"/>
      <c r="Q5" s="528"/>
      <c r="R5" s="528"/>
      <c r="S5" s="528"/>
      <c r="T5" s="528"/>
      <c r="U5" s="528"/>
      <c r="V5" s="528"/>
      <c r="W5" s="528"/>
      <c r="X5" s="528"/>
      <c r="Y5" s="528"/>
      <c r="Z5" s="528">
        <v>2</v>
      </c>
      <c r="AA5" s="528">
        <v>1</v>
      </c>
      <c r="AB5" s="528"/>
      <c r="AC5" s="528"/>
      <c r="AD5" s="528"/>
      <c r="AE5" s="528"/>
      <c r="AF5" s="528"/>
      <c r="AG5" s="528"/>
      <c r="AH5" s="528"/>
      <c r="AI5" s="528"/>
      <c r="AJ5" s="528"/>
      <c r="AK5" s="546" t="s">
        <v>420</v>
      </c>
    </row>
    <row r="6" spans="1:38" s="44" customFormat="1" ht="26.25" thickBot="1" x14ac:dyDescent="0.25">
      <c r="A6" s="570">
        <v>2</v>
      </c>
      <c r="B6" s="541" t="s">
        <v>425</v>
      </c>
      <c r="C6" s="303" t="s">
        <v>426</v>
      </c>
      <c r="D6" s="264" t="s">
        <v>211</v>
      </c>
      <c r="E6" s="556">
        <v>42914</v>
      </c>
      <c r="F6" s="263" t="s">
        <v>14</v>
      </c>
      <c r="G6" s="263">
        <v>146</v>
      </c>
      <c r="H6" s="557"/>
      <c r="I6" s="130" t="s">
        <v>7</v>
      </c>
      <c r="J6" s="552">
        <v>732</v>
      </c>
      <c r="K6" s="580" t="s">
        <v>427</v>
      </c>
      <c r="L6" s="602" t="s">
        <v>245</v>
      </c>
      <c r="M6" s="263" t="s">
        <v>431</v>
      </c>
      <c r="N6" s="263"/>
      <c r="O6" s="264"/>
      <c r="P6" s="119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>
        <v>1</v>
      </c>
      <c r="AC6" s="120"/>
      <c r="AD6" s="120"/>
      <c r="AE6" s="120"/>
      <c r="AF6" s="120"/>
      <c r="AG6" s="120"/>
      <c r="AH6" s="120"/>
      <c r="AI6" s="120"/>
      <c r="AJ6" s="120"/>
      <c r="AK6" s="558" t="s">
        <v>433</v>
      </c>
    </row>
    <row r="7" spans="1:38" s="300" customFormat="1" ht="76.5" x14ac:dyDescent="0.2">
      <c r="A7" s="569">
        <v>3</v>
      </c>
      <c r="B7" s="387" t="s">
        <v>29</v>
      </c>
      <c r="C7" s="297" t="s">
        <v>205</v>
      </c>
      <c r="D7" s="388" t="s">
        <v>35</v>
      </c>
      <c r="E7" s="482">
        <v>42914</v>
      </c>
      <c r="F7" s="483" t="s">
        <v>14</v>
      </c>
      <c r="G7" s="483">
        <v>147</v>
      </c>
      <c r="H7" s="484"/>
      <c r="I7" s="405" t="s">
        <v>7</v>
      </c>
      <c r="J7" s="299">
        <v>751</v>
      </c>
      <c r="K7" s="277"/>
      <c r="L7" s="507" t="s">
        <v>245</v>
      </c>
      <c r="M7" s="275" t="s">
        <v>431</v>
      </c>
      <c r="N7" s="276"/>
      <c r="O7" s="444" t="s">
        <v>421</v>
      </c>
      <c r="P7" s="275">
        <v>1</v>
      </c>
      <c r="Q7" s="276"/>
      <c r="R7" s="276">
        <v>1</v>
      </c>
      <c r="S7" s="276">
        <v>1</v>
      </c>
      <c r="T7" s="276"/>
      <c r="U7" s="276"/>
      <c r="V7" s="276">
        <v>1</v>
      </c>
      <c r="W7" s="276"/>
      <c r="X7" s="276"/>
      <c r="Y7" s="276"/>
      <c r="Z7" s="276"/>
      <c r="AA7" s="276"/>
      <c r="AB7" s="276">
        <v>1</v>
      </c>
      <c r="AC7" s="276"/>
      <c r="AD7" s="276">
        <v>5</v>
      </c>
      <c r="AE7" s="276"/>
      <c r="AF7" s="276">
        <v>2</v>
      </c>
      <c r="AG7" s="276"/>
      <c r="AH7" s="276">
        <v>1</v>
      </c>
      <c r="AI7" s="276"/>
      <c r="AJ7" s="276"/>
      <c r="AK7" s="545" t="s">
        <v>423</v>
      </c>
    </row>
    <row r="8" spans="1:38" s="300" customFormat="1" ht="25.5" x14ac:dyDescent="0.2">
      <c r="A8" s="305">
        <v>4</v>
      </c>
      <c r="B8" s="387" t="s">
        <v>22</v>
      </c>
      <c r="C8" s="303" t="s">
        <v>197</v>
      </c>
      <c r="D8" s="388" t="s">
        <v>35</v>
      </c>
      <c r="E8" s="551">
        <v>42914</v>
      </c>
      <c r="F8" s="298" t="s">
        <v>14</v>
      </c>
      <c r="G8" s="301">
        <v>146</v>
      </c>
      <c r="H8" s="590" t="s">
        <v>451</v>
      </c>
      <c r="I8" s="405" t="s">
        <v>7</v>
      </c>
      <c r="J8" s="302" t="s">
        <v>15</v>
      </c>
      <c r="K8" s="277" t="s">
        <v>385</v>
      </c>
      <c r="L8" s="601" t="s">
        <v>461</v>
      </c>
      <c r="M8" s="563"/>
      <c r="N8" s="276"/>
      <c r="O8" s="277"/>
      <c r="P8" s="275">
        <v>1</v>
      </c>
      <c r="Q8" s="276"/>
      <c r="R8" s="276">
        <v>1</v>
      </c>
      <c r="S8" s="276">
        <v>1</v>
      </c>
      <c r="T8" s="276">
        <v>1</v>
      </c>
      <c r="U8" s="276"/>
      <c r="V8" s="276"/>
      <c r="W8" s="276">
        <v>1</v>
      </c>
      <c r="X8" s="276"/>
      <c r="Y8" s="276"/>
      <c r="Z8" s="276">
        <v>1</v>
      </c>
      <c r="AA8" s="276"/>
      <c r="AB8" s="276"/>
      <c r="AC8" s="276">
        <v>2</v>
      </c>
      <c r="AD8" s="276"/>
      <c r="AE8" s="276"/>
      <c r="AF8" s="276"/>
      <c r="AG8" s="276"/>
      <c r="AH8" s="276">
        <v>1</v>
      </c>
      <c r="AI8" s="276"/>
      <c r="AJ8" s="276"/>
      <c r="AK8" s="573" t="s">
        <v>299</v>
      </c>
    </row>
    <row r="9" spans="1:38" s="3" customFormat="1" ht="15.75" x14ac:dyDescent="0.2">
      <c r="A9" s="304">
        <v>5</v>
      </c>
      <c r="B9" s="389" t="s">
        <v>148</v>
      </c>
      <c r="C9" s="312" t="s">
        <v>230</v>
      </c>
      <c r="D9" s="313" t="s">
        <v>216</v>
      </c>
      <c r="E9" s="482">
        <v>42914</v>
      </c>
      <c r="F9" s="548" t="s">
        <v>7</v>
      </c>
      <c r="G9" s="549" t="s">
        <v>15</v>
      </c>
      <c r="H9" s="550"/>
      <c r="I9" s="203" t="s">
        <v>14</v>
      </c>
      <c r="J9" s="316">
        <v>146</v>
      </c>
      <c r="K9" s="277"/>
      <c r="L9" s="605" t="s">
        <v>245</v>
      </c>
      <c r="M9" s="338"/>
      <c r="N9" s="339"/>
      <c r="O9" s="416"/>
      <c r="P9" s="338">
        <v>2</v>
      </c>
      <c r="Q9" s="83"/>
      <c r="R9" s="83">
        <v>1</v>
      </c>
      <c r="S9" s="83">
        <v>1</v>
      </c>
      <c r="T9" s="83"/>
      <c r="U9" s="83"/>
      <c r="V9" s="83">
        <v>1</v>
      </c>
      <c r="W9" s="83">
        <v>1</v>
      </c>
      <c r="X9" s="83"/>
      <c r="Y9" s="83"/>
      <c r="Z9" s="83"/>
      <c r="AA9" s="83"/>
      <c r="AB9" s="83">
        <v>1</v>
      </c>
      <c r="AC9" s="83"/>
      <c r="AD9" s="83"/>
      <c r="AE9" s="83"/>
      <c r="AF9" s="83"/>
      <c r="AG9" s="83"/>
      <c r="AH9" s="83"/>
      <c r="AI9" s="83"/>
      <c r="AJ9" s="83"/>
      <c r="AK9" s="559" t="s">
        <v>428</v>
      </c>
      <c r="AL9" s="40"/>
    </row>
    <row r="10" spans="1:38" s="44" customFormat="1" ht="25.5" x14ac:dyDescent="0.2">
      <c r="A10" s="305">
        <v>6</v>
      </c>
      <c r="B10" s="390" t="s">
        <v>233</v>
      </c>
      <c r="C10" s="180" t="s">
        <v>234</v>
      </c>
      <c r="D10" s="184" t="s">
        <v>212</v>
      </c>
      <c r="E10" s="482">
        <v>42914</v>
      </c>
      <c r="F10" s="120" t="s">
        <v>7</v>
      </c>
      <c r="G10" s="120">
        <v>748</v>
      </c>
      <c r="H10" s="588" t="s">
        <v>449</v>
      </c>
      <c r="I10" s="182" t="s">
        <v>14</v>
      </c>
      <c r="J10" s="183">
        <v>146</v>
      </c>
      <c r="K10" s="100"/>
      <c r="L10" s="182">
        <v>0</v>
      </c>
      <c r="M10" s="119"/>
      <c r="N10" s="120"/>
      <c r="O10" s="184"/>
      <c r="P10" s="119">
        <v>1</v>
      </c>
      <c r="Q10" s="120"/>
      <c r="R10" s="120">
        <v>1</v>
      </c>
      <c r="S10" s="120">
        <v>1</v>
      </c>
      <c r="T10" s="120"/>
      <c r="U10" s="120"/>
      <c r="V10" s="120">
        <v>1</v>
      </c>
      <c r="W10" s="120">
        <v>1</v>
      </c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574"/>
    </row>
    <row r="11" spans="1:38" s="3" customFormat="1" ht="51" x14ac:dyDescent="0.2">
      <c r="A11" s="305">
        <v>7</v>
      </c>
      <c r="B11" s="389" t="s">
        <v>127</v>
      </c>
      <c r="C11" s="312" t="s">
        <v>354</v>
      </c>
      <c r="D11" s="313" t="s">
        <v>216</v>
      </c>
      <c r="E11" s="382">
        <v>42914</v>
      </c>
      <c r="F11" s="6" t="s">
        <v>14</v>
      </c>
      <c r="G11" s="15" t="s">
        <v>100</v>
      </c>
      <c r="H11" s="326"/>
      <c r="I11" s="203" t="s">
        <v>14</v>
      </c>
      <c r="J11" s="316">
        <v>147</v>
      </c>
      <c r="K11" s="585" t="s">
        <v>304</v>
      </c>
      <c r="L11" s="26">
        <v>3</v>
      </c>
      <c r="M11" s="275"/>
      <c r="N11" s="276"/>
      <c r="O11" s="277"/>
      <c r="P11" s="275">
        <v>1</v>
      </c>
      <c r="Q11" s="276"/>
      <c r="R11" s="276">
        <v>1</v>
      </c>
      <c r="S11" s="276">
        <v>1</v>
      </c>
      <c r="T11" s="276"/>
      <c r="U11" s="276"/>
      <c r="V11" s="276">
        <v>1</v>
      </c>
      <c r="W11" s="276">
        <v>1</v>
      </c>
      <c r="X11" s="276"/>
      <c r="Y11" s="276"/>
      <c r="Z11" s="276">
        <v>1</v>
      </c>
      <c r="AA11" s="276"/>
      <c r="AB11" s="276"/>
      <c r="AC11" s="276">
        <v>1</v>
      </c>
      <c r="AD11" s="276"/>
      <c r="AE11" s="276"/>
      <c r="AF11" s="276"/>
      <c r="AG11" s="276"/>
      <c r="AH11" s="276"/>
      <c r="AI11" s="276"/>
      <c r="AJ11" s="276"/>
      <c r="AK11" s="597" t="s">
        <v>482</v>
      </c>
    </row>
    <row r="12" spans="1:38" s="3" customFormat="1" ht="51" x14ac:dyDescent="0.2">
      <c r="A12" s="304">
        <v>8</v>
      </c>
      <c r="B12" s="389" t="s">
        <v>140</v>
      </c>
      <c r="C12" s="312" t="s">
        <v>354</v>
      </c>
      <c r="D12" s="313" t="s">
        <v>216</v>
      </c>
      <c r="E12" s="482">
        <v>42914</v>
      </c>
      <c r="F12" s="6" t="s">
        <v>14</v>
      </c>
      <c r="G12" s="15" t="s">
        <v>100</v>
      </c>
      <c r="H12" s="326"/>
      <c r="I12" s="203" t="s">
        <v>14</v>
      </c>
      <c r="J12" s="406" t="s">
        <v>162</v>
      </c>
      <c r="K12" s="585" t="s">
        <v>481</v>
      </c>
      <c r="L12" s="26">
        <v>3</v>
      </c>
      <c r="M12" s="275"/>
      <c r="N12" s="276"/>
      <c r="O12" s="277"/>
      <c r="P12" s="275">
        <v>1</v>
      </c>
      <c r="Q12" s="276"/>
      <c r="R12" s="276">
        <v>1</v>
      </c>
      <c r="S12" s="276">
        <v>1</v>
      </c>
      <c r="T12" s="276"/>
      <c r="U12" s="276"/>
      <c r="V12" s="276">
        <v>1</v>
      </c>
      <c r="W12" s="276">
        <v>1</v>
      </c>
      <c r="X12" s="276"/>
      <c r="Y12" s="276">
        <v>1</v>
      </c>
      <c r="Z12" s="276">
        <v>1</v>
      </c>
      <c r="AA12" s="276"/>
      <c r="AB12" s="276">
        <v>2</v>
      </c>
      <c r="AC12" s="276"/>
      <c r="AD12" s="276">
        <v>2</v>
      </c>
      <c r="AE12" s="276">
        <v>1</v>
      </c>
      <c r="AF12" s="276"/>
      <c r="AG12" s="276"/>
      <c r="AH12" s="276"/>
      <c r="AI12" s="276"/>
      <c r="AJ12" s="276">
        <v>1</v>
      </c>
      <c r="AK12" s="597" t="s">
        <v>480</v>
      </c>
    </row>
    <row r="13" spans="1:38" s="3" customFormat="1" ht="15.75" x14ac:dyDescent="0.2">
      <c r="A13" s="305">
        <v>9</v>
      </c>
      <c r="B13" s="389" t="s">
        <v>131</v>
      </c>
      <c r="C13" s="391" t="s">
        <v>355</v>
      </c>
      <c r="D13" s="313" t="s">
        <v>216</v>
      </c>
      <c r="E13" s="382">
        <v>42914</v>
      </c>
      <c r="F13" s="9" t="s">
        <v>14</v>
      </c>
      <c r="G13" s="16" t="s">
        <v>75</v>
      </c>
      <c r="H13" s="399"/>
      <c r="I13" s="357" t="s">
        <v>14</v>
      </c>
      <c r="J13" s="421" t="s">
        <v>100</v>
      </c>
      <c r="K13" s="336" t="s">
        <v>386</v>
      </c>
      <c r="L13" s="26">
        <v>3</v>
      </c>
      <c r="M13" s="275"/>
      <c r="N13" s="276"/>
      <c r="O13" s="277"/>
      <c r="P13" s="275">
        <v>1</v>
      </c>
      <c r="Q13" s="8"/>
      <c r="R13" s="8">
        <v>1</v>
      </c>
      <c r="S13" s="8">
        <v>1</v>
      </c>
      <c r="T13" s="8"/>
      <c r="U13" s="8"/>
      <c r="V13" s="8">
        <v>1</v>
      </c>
      <c r="W13" s="8">
        <v>1</v>
      </c>
      <c r="X13" s="8"/>
      <c r="Y13" s="8"/>
      <c r="Z13" s="8">
        <v>1</v>
      </c>
      <c r="AA13" s="8"/>
      <c r="AB13" s="8">
        <v>1</v>
      </c>
      <c r="AC13" s="8"/>
      <c r="AD13" s="8"/>
      <c r="AE13" s="8"/>
      <c r="AF13" s="8"/>
      <c r="AG13" s="8"/>
      <c r="AH13" s="8">
        <v>1</v>
      </c>
      <c r="AI13" s="8"/>
      <c r="AJ13" s="8"/>
      <c r="AK13" s="575" t="s">
        <v>459</v>
      </c>
    </row>
    <row r="14" spans="1:38" s="44" customFormat="1" ht="38.25" x14ac:dyDescent="0.2">
      <c r="A14" s="69">
        <v>10</v>
      </c>
      <c r="B14" s="471" t="s">
        <v>122</v>
      </c>
      <c r="C14" s="51" t="s">
        <v>335</v>
      </c>
      <c r="D14" s="213" t="s">
        <v>215</v>
      </c>
      <c r="E14" s="98">
        <v>42914</v>
      </c>
      <c r="F14" s="251" t="s">
        <v>14</v>
      </c>
      <c r="G14" s="262" t="s">
        <v>75</v>
      </c>
      <c r="H14" s="589" t="s">
        <v>450</v>
      </c>
      <c r="I14" s="321" t="s">
        <v>14</v>
      </c>
      <c r="J14" s="534" t="s">
        <v>75</v>
      </c>
      <c r="K14" s="433" t="s">
        <v>439</v>
      </c>
      <c r="L14" s="539" t="s">
        <v>245</v>
      </c>
      <c r="M14" s="565" t="s">
        <v>431</v>
      </c>
      <c r="N14" s="238"/>
      <c r="O14" s="336"/>
      <c r="P14" s="244">
        <v>1</v>
      </c>
      <c r="Q14" s="9"/>
      <c r="R14" s="9">
        <v>1</v>
      </c>
      <c r="S14" s="9">
        <v>1</v>
      </c>
      <c r="T14" s="9">
        <v>1</v>
      </c>
      <c r="U14" s="9"/>
      <c r="V14" s="9"/>
      <c r="W14" s="9"/>
      <c r="X14" s="9"/>
      <c r="Y14" s="9"/>
      <c r="Z14" s="9"/>
      <c r="AA14" s="9"/>
      <c r="AB14" s="9">
        <v>1</v>
      </c>
      <c r="AC14" s="9"/>
      <c r="AD14" s="9"/>
      <c r="AE14" s="9"/>
      <c r="AF14" s="9"/>
      <c r="AG14" s="9"/>
      <c r="AH14" s="9"/>
      <c r="AI14" s="9"/>
      <c r="AJ14" s="9"/>
      <c r="AK14" s="453" t="s">
        <v>440</v>
      </c>
    </row>
    <row r="15" spans="1:38" s="3" customFormat="1" ht="51" x14ac:dyDescent="0.2">
      <c r="A15" s="304">
        <v>11</v>
      </c>
      <c r="B15" s="389" t="s">
        <v>136</v>
      </c>
      <c r="C15" s="312" t="s">
        <v>356</v>
      </c>
      <c r="D15" s="313" t="s">
        <v>216</v>
      </c>
      <c r="E15" s="482">
        <v>42914</v>
      </c>
      <c r="F15" s="6" t="s">
        <v>14</v>
      </c>
      <c r="G15" s="15" t="s">
        <v>137</v>
      </c>
      <c r="H15" s="326"/>
      <c r="I15" s="203" t="s">
        <v>14</v>
      </c>
      <c r="J15" s="406" t="s">
        <v>100</v>
      </c>
      <c r="K15" s="336" t="s">
        <v>385</v>
      </c>
      <c r="L15" s="26">
        <v>30</v>
      </c>
      <c r="M15" s="275"/>
      <c r="N15" s="276"/>
      <c r="O15" s="277"/>
      <c r="P15" s="275">
        <v>1</v>
      </c>
      <c r="Q15" s="8"/>
      <c r="R15" s="8">
        <v>1</v>
      </c>
      <c r="S15" s="8">
        <v>1</v>
      </c>
      <c r="T15" s="8">
        <v>1</v>
      </c>
      <c r="U15" s="8"/>
      <c r="V15" s="8"/>
      <c r="W15" s="8">
        <v>1</v>
      </c>
      <c r="X15" s="8"/>
      <c r="Y15" s="8"/>
      <c r="Z15" s="8">
        <v>1</v>
      </c>
      <c r="AA15" s="8"/>
      <c r="AB15" s="8"/>
      <c r="AC15" s="8"/>
      <c r="AD15" s="8"/>
      <c r="AE15" s="8">
        <v>1</v>
      </c>
      <c r="AF15" s="8">
        <v>1</v>
      </c>
      <c r="AG15" s="8"/>
      <c r="AH15" s="8"/>
      <c r="AI15" s="8"/>
      <c r="AJ15" s="8"/>
      <c r="AK15" s="576" t="s">
        <v>419</v>
      </c>
    </row>
    <row r="16" spans="1:38" s="311" customFormat="1" ht="38.25" x14ac:dyDescent="0.2">
      <c r="A16" s="305">
        <v>12</v>
      </c>
      <c r="B16" s="392" t="s">
        <v>88</v>
      </c>
      <c r="C16" s="355" t="s">
        <v>357</v>
      </c>
      <c r="D16" s="356" t="s">
        <v>213</v>
      </c>
      <c r="E16" s="382">
        <v>42914</v>
      </c>
      <c r="F16" s="317" t="s">
        <v>14</v>
      </c>
      <c r="G16" s="318" t="s">
        <v>89</v>
      </c>
      <c r="H16" s="571" t="s">
        <v>375</v>
      </c>
      <c r="I16" s="408" t="s">
        <v>14</v>
      </c>
      <c r="J16" s="442" t="s">
        <v>138</v>
      </c>
      <c r="K16" s="409" t="s">
        <v>385</v>
      </c>
      <c r="L16" s="417">
        <v>10</v>
      </c>
      <c r="M16" s="402"/>
      <c r="N16" s="310"/>
      <c r="O16" s="409"/>
      <c r="P16" s="402">
        <v>2</v>
      </c>
      <c r="Q16" s="310"/>
      <c r="R16" s="310">
        <v>1</v>
      </c>
      <c r="S16" s="310">
        <v>1</v>
      </c>
      <c r="T16" s="310"/>
      <c r="U16" s="310"/>
      <c r="V16" s="310">
        <v>1</v>
      </c>
      <c r="W16" s="310">
        <v>1</v>
      </c>
      <c r="X16" s="238"/>
      <c r="Y16" s="310"/>
      <c r="Z16" s="310"/>
      <c r="AA16" s="310"/>
      <c r="AB16" s="310">
        <v>2</v>
      </c>
      <c r="AC16" s="622">
        <v>2</v>
      </c>
      <c r="AD16" s="310"/>
      <c r="AE16" s="310">
        <v>1</v>
      </c>
      <c r="AF16" s="310"/>
      <c r="AG16" s="310"/>
      <c r="AH16" s="310"/>
      <c r="AI16" s="310"/>
      <c r="AJ16" s="310"/>
      <c r="AK16" s="623" t="s">
        <v>485</v>
      </c>
    </row>
    <row r="17" spans="1:142" s="3" customFormat="1" ht="25.5" x14ac:dyDescent="0.2">
      <c r="A17" s="305">
        <v>13</v>
      </c>
      <c r="B17" s="389" t="s">
        <v>471</v>
      </c>
      <c r="C17" s="312" t="s">
        <v>358</v>
      </c>
      <c r="D17" s="313" t="s">
        <v>216</v>
      </c>
      <c r="E17" s="482">
        <v>42914</v>
      </c>
      <c r="F17" s="6" t="s">
        <v>14</v>
      </c>
      <c r="G17" s="15" t="s">
        <v>275</v>
      </c>
      <c r="H17" s="337" t="s">
        <v>126</v>
      </c>
      <c r="I17" s="203" t="s">
        <v>14</v>
      </c>
      <c r="J17" s="406" t="s">
        <v>32</v>
      </c>
      <c r="K17" s="444" t="s">
        <v>401</v>
      </c>
      <c r="L17" s="507" t="s">
        <v>245</v>
      </c>
      <c r="M17" s="275"/>
      <c r="N17" s="276"/>
      <c r="O17" s="277"/>
      <c r="P17" s="275">
        <v>1</v>
      </c>
      <c r="Q17" s="8"/>
      <c r="R17" s="8">
        <v>1</v>
      </c>
      <c r="S17" s="8">
        <v>1</v>
      </c>
      <c r="T17" s="8"/>
      <c r="U17" s="8"/>
      <c r="V17" s="8"/>
      <c r="W17" s="8">
        <v>1</v>
      </c>
      <c r="X17" s="8"/>
      <c r="Y17" s="8"/>
      <c r="Z17" s="8"/>
      <c r="AA17" s="8"/>
      <c r="AB17" s="8">
        <v>1</v>
      </c>
      <c r="AC17" s="8"/>
      <c r="AD17" s="8"/>
      <c r="AE17" s="8"/>
      <c r="AF17" s="8"/>
      <c r="AG17" s="8"/>
      <c r="AH17" s="8"/>
      <c r="AI17" s="8"/>
      <c r="AJ17" s="8"/>
      <c r="AK17" s="576" t="s">
        <v>460</v>
      </c>
    </row>
    <row r="18" spans="1:142" s="3" customFormat="1" ht="51" x14ac:dyDescent="0.2">
      <c r="A18" s="304">
        <v>14</v>
      </c>
      <c r="B18" s="389" t="s">
        <v>146</v>
      </c>
      <c r="C18" s="312" t="s">
        <v>359</v>
      </c>
      <c r="D18" s="313" t="s">
        <v>216</v>
      </c>
      <c r="E18" s="382">
        <v>42914</v>
      </c>
      <c r="F18" s="6" t="s">
        <v>14</v>
      </c>
      <c r="G18" s="15" t="s">
        <v>138</v>
      </c>
      <c r="H18" s="326"/>
      <c r="I18" s="203" t="s">
        <v>14</v>
      </c>
      <c r="J18" s="406" t="s">
        <v>52</v>
      </c>
      <c r="K18" s="547" t="s">
        <v>422</v>
      </c>
      <c r="L18" s="600">
        <v>8</v>
      </c>
      <c r="M18" s="338"/>
      <c r="N18" s="339"/>
      <c r="O18" s="416"/>
      <c r="P18" s="598"/>
      <c r="Q18" s="67">
        <v>2</v>
      </c>
      <c r="R18" s="67">
        <v>1</v>
      </c>
      <c r="S18" s="67">
        <v>1</v>
      </c>
      <c r="T18" s="67">
        <v>1</v>
      </c>
      <c r="U18" s="67">
        <v>2</v>
      </c>
      <c r="V18" s="67"/>
      <c r="W18" s="67">
        <v>1</v>
      </c>
      <c r="X18" s="67"/>
      <c r="Y18" s="67">
        <v>1</v>
      </c>
      <c r="Z18" s="67">
        <v>2</v>
      </c>
      <c r="AA18" s="67"/>
      <c r="AB18" s="67">
        <v>1</v>
      </c>
      <c r="AC18" s="67"/>
      <c r="AD18" s="67"/>
      <c r="AE18" s="67"/>
      <c r="AF18" s="67">
        <v>1</v>
      </c>
      <c r="AG18" s="67"/>
      <c r="AH18" s="67"/>
      <c r="AI18" s="67"/>
      <c r="AJ18" s="67"/>
      <c r="AK18" s="599" t="s">
        <v>457</v>
      </c>
      <c r="AL18" s="40"/>
    </row>
    <row r="19" spans="1:142" s="3" customFormat="1" ht="25.5" x14ac:dyDescent="0.2">
      <c r="A19" s="305">
        <v>15</v>
      </c>
      <c r="B19" s="389" t="s">
        <v>139</v>
      </c>
      <c r="C19" s="312" t="s">
        <v>360</v>
      </c>
      <c r="D19" s="313" t="s">
        <v>216</v>
      </c>
      <c r="E19" s="482">
        <v>42914</v>
      </c>
      <c r="F19" s="314" t="s">
        <v>14</v>
      </c>
      <c r="G19" s="315" t="s">
        <v>138</v>
      </c>
      <c r="H19" s="326"/>
      <c r="I19" s="203" t="s">
        <v>14</v>
      </c>
      <c r="J19" s="406" t="s">
        <v>52</v>
      </c>
      <c r="K19" s="547" t="s">
        <v>422</v>
      </c>
      <c r="L19" s="26">
        <v>4</v>
      </c>
      <c r="M19" s="275"/>
      <c r="N19" s="276"/>
      <c r="O19" s="277"/>
      <c r="P19" s="275"/>
      <c r="Q19" s="276">
        <v>2</v>
      </c>
      <c r="R19" s="276">
        <v>1</v>
      </c>
      <c r="S19" s="276">
        <v>1</v>
      </c>
      <c r="T19" s="276">
        <v>1</v>
      </c>
      <c r="U19" s="276">
        <v>2</v>
      </c>
      <c r="V19" s="276"/>
      <c r="W19" s="276">
        <v>1</v>
      </c>
      <c r="X19" s="276"/>
      <c r="Y19" s="276"/>
      <c r="Z19" s="276">
        <v>1</v>
      </c>
      <c r="AA19" s="276"/>
      <c r="AB19" s="276">
        <v>1</v>
      </c>
      <c r="AC19" s="276"/>
      <c r="AD19" s="276"/>
      <c r="AE19" s="276"/>
      <c r="AF19" s="276"/>
      <c r="AG19" s="276"/>
      <c r="AH19" s="276"/>
      <c r="AI19" s="276"/>
      <c r="AJ19" s="276"/>
      <c r="AK19" s="573" t="s">
        <v>458</v>
      </c>
    </row>
    <row r="20" spans="1:142" s="44" customFormat="1" ht="63.75" x14ac:dyDescent="0.2">
      <c r="A20" s="305">
        <v>16</v>
      </c>
      <c r="B20" s="393" t="s">
        <v>46</v>
      </c>
      <c r="C20" s="334" t="s">
        <v>361</v>
      </c>
      <c r="D20" s="335" t="s">
        <v>212</v>
      </c>
      <c r="E20" s="382">
        <v>42914</v>
      </c>
      <c r="F20" s="226" t="s">
        <v>14</v>
      </c>
      <c r="G20" s="227" t="s">
        <v>52</v>
      </c>
      <c r="H20" s="400"/>
      <c r="I20" s="410" t="s">
        <v>14</v>
      </c>
      <c r="J20" s="443" t="s">
        <v>137</v>
      </c>
      <c r="K20" s="380"/>
      <c r="L20" s="625">
        <v>20</v>
      </c>
      <c r="M20" s="626"/>
      <c r="N20" s="627"/>
      <c r="O20" s="624"/>
      <c r="P20" s="626">
        <v>1</v>
      </c>
      <c r="Q20" s="627"/>
      <c r="R20" s="627">
        <v>1</v>
      </c>
      <c r="S20" s="627">
        <v>1</v>
      </c>
      <c r="T20" s="627"/>
      <c r="U20" s="627"/>
      <c r="V20" s="627">
        <v>1</v>
      </c>
      <c r="W20" s="627">
        <v>1</v>
      </c>
      <c r="X20" s="627"/>
      <c r="Y20" s="627"/>
      <c r="Z20" s="627">
        <v>2</v>
      </c>
      <c r="AA20" s="627"/>
      <c r="AB20" s="627"/>
      <c r="AC20" s="627"/>
      <c r="AD20" s="627">
        <v>3</v>
      </c>
      <c r="AE20" s="627"/>
      <c r="AF20" s="627">
        <v>1</v>
      </c>
      <c r="AG20" s="627"/>
      <c r="AH20" s="627"/>
      <c r="AI20" s="627"/>
      <c r="AJ20" s="627"/>
      <c r="AK20" s="628" t="s">
        <v>486</v>
      </c>
    </row>
    <row r="21" spans="1:142" s="44" customFormat="1" ht="25.5" x14ac:dyDescent="0.2">
      <c r="A21" s="304">
        <v>17</v>
      </c>
      <c r="B21" s="394" t="s">
        <v>81</v>
      </c>
      <c r="C21" s="319" t="s">
        <v>362</v>
      </c>
      <c r="D21" s="395" t="s">
        <v>213</v>
      </c>
      <c r="E21" s="482">
        <v>42914</v>
      </c>
      <c r="F21" s="251" t="s">
        <v>14</v>
      </c>
      <c r="G21" s="252" t="s">
        <v>49</v>
      </c>
      <c r="H21" s="572" t="s">
        <v>432</v>
      </c>
      <c r="I21" s="410" t="s">
        <v>14</v>
      </c>
      <c r="J21" s="443" t="s">
        <v>51</v>
      </c>
      <c r="K21" s="380"/>
      <c r="L21" s="379"/>
      <c r="M21" s="323"/>
      <c r="N21" s="324"/>
      <c r="O21" s="380"/>
      <c r="P21" s="323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578" t="s">
        <v>384</v>
      </c>
    </row>
    <row r="22" spans="1:142" s="44" customFormat="1" ht="15.75" x14ac:dyDescent="0.2">
      <c r="A22" s="373">
        <v>18</v>
      </c>
      <c r="B22" s="394" t="s">
        <v>72</v>
      </c>
      <c r="C22" s="319" t="s">
        <v>363</v>
      </c>
      <c r="D22" s="395" t="s">
        <v>213</v>
      </c>
      <c r="E22" s="382">
        <v>42914</v>
      </c>
      <c r="F22" s="251" t="s">
        <v>14</v>
      </c>
      <c r="G22" s="252" t="s">
        <v>73</v>
      </c>
      <c r="H22" s="320"/>
      <c r="I22" s="410" t="s">
        <v>14</v>
      </c>
      <c r="J22" s="443" t="s">
        <v>49</v>
      </c>
      <c r="K22" s="380"/>
      <c r="L22" s="379"/>
      <c r="M22" s="323"/>
      <c r="N22" s="324"/>
      <c r="O22" s="380"/>
      <c r="P22" s="323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577"/>
    </row>
    <row r="23" spans="1:142" s="44" customFormat="1" ht="15.75" x14ac:dyDescent="0.2">
      <c r="A23" s="67">
        <v>19</v>
      </c>
      <c r="B23" s="471" t="s">
        <v>38</v>
      </c>
      <c r="C23" s="30" t="s">
        <v>339</v>
      </c>
      <c r="D23" s="240" t="s">
        <v>211</v>
      </c>
      <c r="E23" s="459">
        <v>42914</v>
      </c>
      <c r="F23" s="238" t="s">
        <v>7</v>
      </c>
      <c r="G23" s="238" t="s">
        <v>15</v>
      </c>
      <c r="H23" s="591" t="s">
        <v>246</v>
      </c>
      <c r="I23" s="244" t="s">
        <v>7</v>
      </c>
      <c r="J23" s="71" t="s">
        <v>58</v>
      </c>
      <c r="K23" s="512" t="s">
        <v>377</v>
      </c>
      <c r="L23" s="358"/>
      <c r="M23" s="374"/>
      <c r="N23" s="250"/>
      <c r="O23" s="381"/>
      <c r="P23" s="37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578" t="s">
        <v>347</v>
      </c>
      <c r="AM23" s="43"/>
    </row>
    <row r="24" spans="1:142" s="70" customFormat="1" ht="16.5" thickBot="1" x14ac:dyDescent="0.25">
      <c r="A24" s="304"/>
      <c r="B24" s="396"/>
      <c r="C24" s="397"/>
      <c r="D24" s="398"/>
      <c r="E24" s="383"/>
      <c r="F24" s="154"/>
      <c r="G24" s="154"/>
      <c r="H24" s="401"/>
      <c r="I24" s="411"/>
      <c r="J24" s="412"/>
      <c r="K24" s="413"/>
      <c r="L24" s="204"/>
      <c r="M24" s="561"/>
      <c r="N24" s="211"/>
      <c r="O24" s="212"/>
      <c r="P24" s="267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579"/>
    </row>
    <row r="25" spans="1:142" x14ac:dyDescent="0.2">
      <c r="B25" s="17"/>
      <c r="C25" s="17"/>
      <c r="O25" s="2" t="s">
        <v>191</v>
      </c>
      <c r="P25" s="42">
        <f t="shared" ref="P25:AJ25" si="0">SUM(P5:P24)</f>
        <v>14</v>
      </c>
      <c r="Q25" s="42">
        <f t="shared" si="0"/>
        <v>4</v>
      </c>
      <c r="R25" s="42">
        <f t="shared" si="0"/>
        <v>14</v>
      </c>
      <c r="S25" s="42">
        <f t="shared" si="0"/>
        <v>14</v>
      </c>
      <c r="T25" s="42">
        <f t="shared" si="0"/>
        <v>5</v>
      </c>
      <c r="U25" s="42">
        <f t="shared" si="0"/>
        <v>4</v>
      </c>
      <c r="V25" s="42">
        <f t="shared" si="0"/>
        <v>8</v>
      </c>
      <c r="W25" s="42">
        <f t="shared" si="0"/>
        <v>12</v>
      </c>
      <c r="X25" s="42">
        <f t="shared" si="0"/>
        <v>0</v>
      </c>
      <c r="Y25" s="42">
        <f t="shared" si="0"/>
        <v>2</v>
      </c>
      <c r="Z25" s="42">
        <f t="shared" si="0"/>
        <v>12</v>
      </c>
      <c r="AA25" s="42">
        <f t="shared" si="0"/>
        <v>1</v>
      </c>
      <c r="AB25" s="42">
        <f t="shared" si="0"/>
        <v>12</v>
      </c>
      <c r="AC25" s="42">
        <f t="shared" si="0"/>
        <v>5</v>
      </c>
      <c r="AD25" s="42">
        <f t="shared" si="0"/>
        <v>10</v>
      </c>
      <c r="AE25" s="42">
        <f t="shared" si="0"/>
        <v>3</v>
      </c>
      <c r="AF25" s="42">
        <f t="shared" si="0"/>
        <v>5</v>
      </c>
      <c r="AG25" s="42">
        <f t="shared" si="0"/>
        <v>0</v>
      </c>
      <c r="AH25" s="42">
        <f t="shared" si="0"/>
        <v>3</v>
      </c>
      <c r="AI25" s="42">
        <f t="shared" si="0"/>
        <v>0</v>
      </c>
      <c r="AJ25" s="42">
        <f t="shared" si="0"/>
        <v>1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</row>
  </sheetData>
  <mergeCells count="6">
    <mergeCell ref="A1:AK1"/>
    <mergeCell ref="A2:AK2"/>
    <mergeCell ref="E3:H3"/>
    <mergeCell ref="I3:K3"/>
    <mergeCell ref="L3:O3"/>
    <mergeCell ref="P3:AK3"/>
  </mergeCells>
  <conditionalFormatting sqref="K9">
    <cfRule type="cellIs" dxfId="188" priority="19" stopIfTrue="1" operator="equal">
      <formula>"neu"</formula>
    </cfRule>
  </conditionalFormatting>
  <conditionalFormatting sqref="K11">
    <cfRule type="cellIs" dxfId="187" priority="18" stopIfTrue="1" operator="equal">
      <formula>"neu"</formula>
    </cfRule>
  </conditionalFormatting>
  <conditionalFormatting sqref="K13:K14">
    <cfRule type="cellIs" dxfId="186" priority="17" stopIfTrue="1" operator="equal">
      <formula>"neu"</formula>
    </cfRule>
  </conditionalFormatting>
  <conditionalFormatting sqref="K17">
    <cfRule type="cellIs" dxfId="185" priority="15" stopIfTrue="1" operator="equal">
      <formula>"neu"</formula>
    </cfRule>
  </conditionalFormatting>
  <conditionalFormatting sqref="K18">
    <cfRule type="cellIs" dxfId="184" priority="10" stopIfTrue="1" operator="equal">
      <formula>"neu"</formula>
    </cfRule>
  </conditionalFormatting>
  <conditionalFormatting sqref="K23:AJ23">
    <cfRule type="cellIs" dxfId="183" priority="7" stopIfTrue="1" operator="equal">
      <formula>"neu"</formula>
    </cfRule>
  </conditionalFormatting>
  <conditionalFormatting sqref="K15">
    <cfRule type="cellIs" dxfId="182" priority="5" stopIfTrue="1" operator="equal">
      <formula>"neu"</formula>
    </cfRule>
  </conditionalFormatting>
  <conditionalFormatting sqref="K19">
    <cfRule type="cellIs" dxfId="181" priority="3" stopIfTrue="1" operator="equal">
      <formula>"neu"</formula>
    </cfRule>
  </conditionalFormatting>
  <conditionalFormatting sqref="K12">
    <cfRule type="cellIs" dxfId="180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8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EL23"/>
  <sheetViews>
    <sheetView showGridLines="0" tabSelected="1" zoomScale="80" zoomScaleNormal="80" zoomScaleSheetLayoutView="84" workbookViewId="0">
      <pane ySplit="4" topLeftCell="A5" activePane="bottomLeft" state="frozen"/>
      <selection pane="bottomLeft" activeCell="N15" sqref="N15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6.140625" style="2" customWidth="1"/>
    <col min="12" max="12" width="10.7109375" style="2" customWidth="1"/>
    <col min="13" max="15" width="9.140625" style="2" customWidth="1"/>
    <col min="16" max="36" width="4.7109375" style="2" customWidth="1"/>
    <col min="37" max="37" width="52.5703125" style="2" customWidth="1"/>
    <col min="38" max="142" width="11.42578125" style="3"/>
    <col min="143" max="16384" width="11.42578125" style="1"/>
  </cols>
  <sheetData>
    <row r="1" spans="1:142" ht="30.75" customHeight="1" thickBot="1" x14ac:dyDescent="0.25">
      <c r="A1" s="629" t="s">
        <v>272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1"/>
      <c r="AK1" s="632"/>
    </row>
    <row r="2" spans="1:142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5"/>
      <c r="AK2" s="636"/>
    </row>
    <row r="3" spans="1:142" ht="13.5" thickBot="1" x14ac:dyDescent="0.25">
      <c r="A3" s="37"/>
      <c r="B3" s="35"/>
      <c r="C3" s="39"/>
      <c r="D3" s="90"/>
      <c r="E3" s="637" t="s">
        <v>5</v>
      </c>
      <c r="F3" s="638"/>
      <c r="G3" s="638"/>
      <c r="H3" s="639"/>
      <c r="I3" s="640" t="s">
        <v>11</v>
      </c>
      <c r="J3" s="640"/>
      <c r="K3" s="640"/>
      <c r="L3" s="641" t="s">
        <v>237</v>
      </c>
      <c r="M3" s="640"/>
      <c r="N3" s="640"/>
      <c r="O3" s="642"/>
      <c r="P3" s="640" t="s">
        <v>189</v>
      </c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2"/>
    </row>
    <row r="4" spans="1:142" s="3" customFormat="1" ht="141.75" customHeight="1" thickBot="1" x14ac:dyDescent="0.25">
      <c r="A4" s="20" t="s">
        <v>0</v>
      </c>
      <c r="B4" s="36" t="s">
        <v>1</v>
      </c>
      <c r="C4" s="21" t="s">
        <v>184</v>
      </c>
      <c r="D4" s="91" t="s">
        <v>6</v>
      </c>
      <c r="E4" s="20" t="s">
        <v>2</v>
      </c>
      <c r="F4" s="22" t="s">
        <v>3</v>
      </c>
      <c r="G4" s="31" t="s">
        <v>235</v>
      </c>
      <c r="H4" s="11" t="s">
        <v>10</v>
      </c>
      <c r="I4" s="23" t="s">
        <v>12</v>
      </c>
      <c r="J4" s="96" t="s">
        <v>236</v>
      </c>
      <c r="K4" s="97" t="s">
        <v>240</v>
      </c>
      <c r="L4" s="94" t="s">
        <v>185</v>
      </c>
      <c r="M4" s="564" t="s">
        <v>469</v>
      </c>
      <c r="N4" s="31" t="s">
        <v>186</v>
      </c>
      <c r="O4" s="95" t="s">
        <v>187</v>
      </c>
      <c r="P4" s="93" t="s">
        <v>163</v>
      </c>
      <c r="Q4" s="32" t="s">
        <v>164</v>
      </c>
      <c r="R4" s="32" t="s">
        <v>165</v>
      </c>
      <c r="S4" s="32" t="s">
        <v>166</v>
      </c>
      <c r="T4" s="32" t="s">
        <v>167</v>
      </c>
      <c r="U4" s="32" t="s">
        <v>168</v>
      </c>
      <c r="V4" s="32" t="s">
        <v>169</v>
      </c>
      <c r="W4" s="32" t="s">
        <v>170</v>
      </c>
      <c r="X4" s="32" t="s">
        <v>171</v>
      </c>
      <c r="Y4" s="32" t="s">
        <v>172</v>
      </c>
      <c r="Z4" s="32" t="s">
        <v>173</v>
      </c>
      <c r="AA4" s="32" t="s">
        <v>174</v>
      </c>
      <c r="AB4" s="32" t="s">
        <v>175</v>
      </c>
      <c r="AC4" s="32" t="s">
        <v>176</v>
      </c>
      <c r="AD4" s="32" t="s">
        <v>177</v>
      </c>
      <c r="AE4" s="32" t="s">
        <v>178</v>
      </c>
      <c r="AF4" s="32" t="s">
        <v>179</v>
      </c>
      <c r="AG4" s="32" t="s">
        <v>180</v>
      </c>
      <c r="AH4" s="32" t="s">
        <v>181</v>
      </c>
      <c r="AI4" s="32" t="s">
        <v>182</v>
      </c>
      <c r="AJ4" s="33" t="s">
        <v>183</v>
      </c>
      <c r="AK4" s="34" t="s">
        <v>190</v>
      </c>
    </row>
    <row r="5" spans="1:142" s="44" customFormat="1" ht="38.25" x14ac:dyDescent="0.2">
      <c r="A5" s="69">
        <v>1</v>
      </c>
      <c r="B5" s="74" t="s">
        <v>53</v>
      </c>
      <c r="C5" s="45" t="s">
        <v>364</v>
      </c>
      <c r="D5" s="87" t="s">
        <v>212</v>
      </c>
      <c r="E5" s="85">
        <v>42915</v>
      </c>
      <c r="F5" s="47" t="s">
        <v>14</v>
      </c>
      <c r="G5" s="50" t="s">
        <v>54</v>
      </c>
      <c r="H5" s="515" t="s">
        <v>434</v>
      </c>
      <c r="I5" s="445" t="s">
        <v>14</v>
      </c>
      <c r="J5" s="446" t="s">
        <v>89</v>
      </c>
      <c r="K5" s="457"/>
      <c r="L5" s="376"/>
      <c r="M5" s="612"/>
      <c r="N5" s="377"/>
      <c r="O5" s="378"/>
      <c r="P5" s="323"/>
      <c r="Q5" s="10">
        <v>1</v>
      </c>
      <c r="R5" s="10">
        <v>1</v>
      </c>
      <c r="S5" s="10">
        <v>1</v>
      </c>
      <c r="T5" s="10"/>
      <c r="U5" s="10"/>
      <c r="V5" s="10"/>
      <c r="W5" s="10">
        <v>1</v>
      </c>
      <c r="X5" s="10"/>
      <c r="Y5" s="10">
        <v>1</v>
      </c>
      <c r="Z5" s="10">
        <v>2</v>
      </c>
      <c r="AA5" s="10"/>
      <c r="AB5" s="10">
        <v>1</v>
      </c>
      <c r="AC5" s="10"/>
      <c r="AD5" s="10"/>
      <c r="AE5" s="10"/>
      <c r="AF5" s="10">
        <v>1</v>
      </c>
      <c r="AG5" s="10"/>
      <c r="AH5" s="10"/>
      <c r="AI5" s="10"/>
      <c r="AJ5" s="10"/>
      <c r="AK5" s="581" t="s">
        <v>473</v>
      </c>
    </row>
    <row r="6" spans="1:142" s="44" customFormat="1" ht="15.75" x14ac:dyDescent="0.2">
      <c r="A6" s="69">
        <v>2</v>
      </c>
      <c r="B6" s="4" t="s">
        <v>59</v>
      </c>
      <c r="C6" s="41" t="s">
        <v>247</v>
      </c>
      <c r="D6" s="92" t="s">
        <v>212</v>
      </c>
      <c r="E6" s="85">
        <v>42915</v>
      </c>
      <c r="F6" s="46" t="s">
        <v>14</v>
      </c>
      <c r="G6" s="49" t="s">
        <v>54</v>
      </c>
      <c r="H6" s="400"/>
      <c r="I6" s="357" t="s">
        <v>7</v>
      </c>
      <c r="J6" s="322">
        <v>783</v>
      </c>
      <c r="K6" s="582" t="s">
        <v>388</v>
      </c>
      <c r="L6" s="99">
        <v>4</v>
      </c>
      <c r="M6" s="565" t="s">
        <v>431</v>
      </c>
      <c r="N6" s="324"/>
      <c r="O6" s="380"/>
      <c r="P6" s="323"/>
      <c r="Q6" s="10"/>
      <c r="R6" s="10"/>
      <c r="S6" s="10"/>
      <c r="T6" s="10"/>
      <c r="U6" s="10"/>
      <c r="V6" s="10"/>
      <c r="W6" s="10"/>
      <c r="X6" s="10"/>
      <c r="Y6" s="10"/>
      <c r="Z6" s="10"/>
      <c r="AA6" s="10">
        <v>1</v>
      </c>
      <c r="AB6" s="10">
        <v>1</v>
      </c>
      <c r="AC6" s="10"/>
      <c r="AD6" s="10">
        <v>4</v>
      </c>
      <c r="AE6" s="10">
        <v>1</v>
      </c>
      <c r="AF6" s="10"/>
      <c r="AG6" s="10"/>
      <c r="AH6" s="10"/>
      <c r="AI6" s="10"/>
      <c r="AJ6" s="10"/>
      <c r="AK6" s="70" t="s">
        <v>248</v>
      </c>
    </row>
    <row r="7" spans="1:142" s="3" customFormat="1" ht="25.5" x14ac:dyDescent="0.2">
      <c r="A7" s="67">
        <v>3</v>
      </c>
      <c r="B7" s="74" t="s">
        <v>116</v>
      </c>
      <c r="C7" s="45" t="s">
        <v>365</v>
      </c>
      <c r="D7" s="87" t="s">
        <v>215</v>
      </c>
      <c r="E7" s="85">
        <v>42915</v>
      </c>
      <c r="F7" s="46" t="s">
        <v>14</v>
      </c>
      <c r="G7" s="49" t="s">
        <v>89</v>
      </c>
      <c r="H7" s="290"/>
      <c r="I7" s="203" t="s">
        <v>14</v>
      </c>
      <c r="J7" s="406" t="s">
        <v>54</v>
      </c>
      <c r="K7" s="585" t="s">
        <v>435</v>
      </c>
      <c r="L7" s="26"/>
      <c r="M7" s="275"/>
      <c r="N7" s="276"/>
      <c r="O7" s="277"/>
      <c r="P7" s="275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79"/>
    </row>
    <row r="8" spans="1:142" s="3" customFormat="1" ht="25.5" x14ac:dyDescent="0.2">
      <c r="A8" s="69">
        <v>4</v>
      </c>
      <c r="B8" s="5" t="s">
        <v>141</v>
      </c>
      <c r="C8" s="41" t="s">
        <v>366</v>
      </c>
      <c r="D8" s="88" t="s">
        <v>216</v>
      </c>
      <c r="E8" s="85">
        <v>42915</v>
      </c>
      <c r="F8" s="6" t="s">
        <v>14</v>
      </c>
      <c r="G8" s="15" t="s">
        <v>142</v>
      </c>
      <c r="H8" s="458"/>
      <c r="I8" s="203" t="s">
        <v>14</v>
      </c>
      <c r="J8" s="406" t="s">
        <v>89</v>
      </c>
      <c r="K8" s="277"/>
      <c r="L8" s="415"/>
      <c r="M8" s="338"/>
      <c r="N8" s="339"/>
      <c r="O8" s="416"/>
      <c r="P8" s="424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614" t="s">
        <v>472</v>
      </c>
      <c r="AL8" s="40"/>
    </row>
    <row r="9" spans="1:142" s="621" customFormat="1" ht="89.25" x14ac:dyDescent="0.2">
      <c r="A9" s="69">
        <v>5</v>
      </c>
      <c r="B9" s="5" t="s">
        <v>145</v>
      </c>
      <c r="C9" s="41" t="s">
        <v>367</v>
      </c>
      <c r="D9" s="88" t="s">
        <v>216</v>
      </c>
      <c r="E9" s="85">
        <v>42915</v>
      </c>
      <c r="F9" s="6" t="s">
        <v>14</v>
      </c>
      <c r="G9" s="6">
        <v>104</v>
      </c>
      <c r="H9" s="603" t="s">
        <v>448</v>
      </c>
      <c r="I9" s="203" t="s">
        <v>14</v>
      </c>
      <c r="J9" s="406" t="s">
        <v>142</v>
      </c>
      <c r="K9" s="407" t="s">
        <v>385</v>
      </c>
      <c r="L9" s="616" t="s">
        <v>484</v>
      </c>
      <c r="M9" s="598"/>
      <c r="N9" s="617"/>
      <c r="O9" s="618"/>
      <c r="P9" s="598"/>
      <c r="Q9" s="617">
        <v>2</v>
      </c>
      <c r="R9" s="617">
        <v>1</v>
      </c>
      <c r="S9" s="617">
        <v>1</v>
      </c>
      <c r="T9" s="617">
        <v>1</v>
      </c>
      <c r="U9" s="617">
        <v>2</v>
      </c>
      <c r="V9" s="617"/>
      <c r="W9" s="617">
        <v>1</v>
      </c>
      <c r="X9" s="617"/>
      <c r="Y9" s="617"/>
      <c r="Z9" s="617">
        <v>1</v>
      </c>
      <c r="AA9" s="617"/>
      <c r="AB9" s="617">
        <v>1</v>
      </c>
      <c r="AC9" s="617"/>
      <c r="AD9" s="617"/>
      <c r="AE9" s="617"/>
      <c r="AF9" s="617">
        <v>1</v>
      </c>
      <c r="AG9" s="617"/>
      <c r="AH9" s="617"/>
      <c r="AI9" s="617"/>
      <c r="AJ9" s="617"/>
      <c r="AK9" s="619" t="s">
        <v>479</v>
      </c>
      <c r="AL9" s="620"/>
    </row>
    <row r="10" spans="1:142" s="3" customFormat="1" ht="51" x14ac:dyDescent="0.2">
      <c r="A10" s="67">
        <v>6</v>
      </c>
      <c r="B10" s="5" t="s">
        <v>130</v>
      </c>
      <c r="C10" s="41" t="s">
        <v>368</v>
      </c>
      <c r="D10" s="88" t="s">
        <v>216</v>
      </c>
      <c r="E10" s="85">
        <v>42915</v>
      </c>
      <c r="F10" s="6" t="s">
        <v>14</v>
      </c>
      <c r="G10" s="6">
        <v>104</v>
      </c>
      <c r="H10" s="326"/>
      <c r="I10" s="203" t="s">
        <v>14</v>
      </c>
      <c r="J10" s="406" t="s">
        <v>142</v>
      </c>
      <c r="K10" s="407" t="s">
        <v>386</v>
      </c>
      <c r="L10" s="26">
        <v>10</v>
      </c>
      <c r="M10" s="275"/>
      <c r="N10" s="276"/>
      <c r="O10" s="277"/>
      <c r="P10" s="275"/>
      <c r="Q10" s="276">
        <v>2</v>
      </c>
      <c r="R10" s="276">
        <v>1</v>
      </c>
      <c r="S10" s="276">
        <v>1</v>
      </c>
      <c r="T10" s="276">
        <v>1</v>
      </c>
      <c r="U10" s="276">
        <v>2</v>
      </c>
      <c r="V10" s="276"/>
      <c r="W10" s="276">
        <v>1</v>
      </c>
      <c r="X10" s="276"/>
      <c r="Y10" s="276"/>
      <c r="Z10" s="276">
        <v>1</v>
      </c>
      <c r="AA10" s="276"/>
      <c r="AB10" s="276">
        <v>1</v>
      </c>
      <c r="AC10" s="276"/>
      <c r="AD10" s="276"/>
      <c r="AE10" s="276"/>
      <c r="AF10" s="276">
        <v>1</v>
      </c>
      <c r="AG10" s="276"/>
      <c r="AH10" s="276"/>
      <c r="AI10" s="276"/>
      <c r="AJ10" s="276"/>
      <c r="AK10" s="545" t="s">
        <v>478</v>
      </c>
    </row>
    <row r="11" spans="1:142" s="3" customFormat="1" ht="25.5" x14ac:dyDescent="0.2">
      <c r="A11" s="69">
        <v>7</v>
      </c>
      <c r="B11" s="74" t="s">
        <v>121</v>
      </c>
      <c r="C11" s="45" t="s">
        <v>369</v>
      </c>
      <c r="D11" s="87" t="s">
        <v>215</v>
      </c>
      <c r="E11" s="85">
        <v>42915</v>
      </c>
      <c r="F11" s="47" t="s">
        <v>7</v>
      </c>
      <c r="G11" s="50" t="s">
        <v>17</v>
      </c>
      <c r="H11" s="291"/>
      <c r="I11" s="203" t="s">
        <v>14</v>
      </c>
      <c r="J11" s="406" t="s">
        <v>54</v>
      </c>
      <c r="K11" s="585" t="s">
        <v>435</v>
      </c>
      <c r="L11" s="26">
        <v>3</v>
      </c>
      <c r="M11" s="275"/>
      <c r="N11" s="276"/>
      <c r="O11" s="277"/>
      <c r="P11" s="275"/>
      <c r="Q11" s="276">
        <v>1</v>
      </c>
      <c r="R11" s="276">
        <v>1</v>
      </c>
      <c r="S11" s="276">
        <v>1</v>
      </c>
      <c r="T11" s="276">
        <v>1</v>
      </c>
      <c r="U11" s="276">
        <v>1</v>
      </c>
      <c r="V11" s="276"/>
      <c r="W11" s="276">
        <v>1</v>
      </c>
      <c r="X11" s="276"/>
      <c r="Y11" s="276">
        <v>1</v>
      </c>
      <c r="Z11" s="276"/>
      <c r="AA11" s="276"/>
      <c r="AB11" s="276">
        <v>1</v>
      </c>
      <c r="AC11" s="276"/>
      <c r="AD11" s="276"/>
      <c r="AE11" s="276"/>
      <c r="AF11" s="276"/>
      <c r="AG11" s="276"/>
      <c r="AH11" s="276"/>
      <c r="AI11" s="276"/>
      <c r="AJ11" s="276"/>
      <c r="AK11" s="79"/>
    </row>
    <row r="12" spans="1:142" s="3" customFormat="1" ht="25.5" x14ac:dyDescent="0.2">
      <c r="A12" s="69">
        <v>8</v>
      </c>
      <c r="B12" s="74" t="s">
        <v>282</v>
      </c>
      <c r="C12" s="45" t="s">
        <v>370</v>
      </c>
      <c r="D12" s="87" t="s">
        <v>215</v>
      </c>
      <c r="E12" s="85">
        <v>42915</v>
      </c>
      <c r="F12" s="47" t="s">
        <v>14</v>
      </c>
      <c r="G12" s="583" t="s">
        <v>283</v>
      </c>
      <c r="H12" s="291"/>
      <c r="I12" s="203" t="s">
        <v>14</v>
      </c>
      <c r="J12" s="406" t="s">
        <v>54</v>
      </c>
      <c r="K12" s="585" t="s">
        <v>435</v>
      </c>
      <c r="L12" s="507" t="s">
        <v>476</v>
      </c>
      <c r="M12" s="276"/>
      <c r="N12" s="276"/>
      <c r="O12" s="275"/>
      <c r="P12" s="275"/>
      <c r="Q12" s="276">
        <v>1</v>
      </c>
      <c r="R12" s="276">
        <v>1</v>
      </c>
      <c r="S12" s="276">
        <v>1</v>
      </c>
      <c r="T12" s="276">
        <v>1</v>
      </c>
      <c r="U12" s="276">
        <v>1</v>
      </c>
      <c r="V12" s="276"/>
      <c r="W12" s="276">
        <v>1</v>
      </c>
      <c r="X12" s="276"/>
      <c r="Y12" s="276">
        <v>1</v>
      </c>
      <c r="Z12" s="276"/>
      <c r="AA12" s="276"/>
      <c r="AB12" s="276">
        <v>1</v>
      </c>
      <c r="AC12" s="276"/>
      <c r="AD12" s="276">
        <v>2</v>
      </c>
      <c r="AE12" s="276"/>
      <c r="AF12" s="276"/>
      <c r="AG12" s="276"/>
      <c r="AH12" s="276"/>
      <c r="AI12" s="276"/>
      <c r="AJ12" s="276">
        <v>1</v>
      </c>
      <c r="AK12" s="545" t="s">
        <v>475</v>
      </c>
    </row>
    <row r="13" spans="1:142" s="44" customFormat="1" ht="25.5" x14ac:dyDescent="0.2">
      <c r="A13" s="67">
        <v>9</v>
      </c>
      <c r="B13" s="5" t="s">
        <v>242</v>
      </c>
      <c r="C13" s="30" t="s">
        <v>198</v>
      </c>
      <c r="D13" s="18" t="s">
        <v>35</v>
      </c>
      <c r="E13" s="85">
        <v>42915</v>
      </c>
      <c r="F13" s="9" t="s">
        <v>14</v>
      </c>
      <c r="G13" s="16" t="s">
        <v>32</v>
      </c>
      <c r="H13" s="240" t="s">
        <v>126</v>
      </c>
      <c r="I13" s="357" t="s">
        <v>7</v>
      </c>
      <c r="J13" s="421" t="s">
        <v>15</v>
      </c>
      <c r="K13" s="529" t="s">
        <v>387</v>
      </c>
      <c r="L13" s="379"/>
      <c r="M13" s="323"/>
      <c r="N13" s="324"/>
      <c r="O13" s="380"/>
      <c r="P13" s="323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70" t="s">
        <v>474</v>
      </c>
      <c r="AM13" s="43"/>
    </row>
    <row r="14" spans="1:142" s="44" customFormat="1" ht="25.5" x14ac:dyDescent="0.2">
      <c r="A14" s="69">
        <v>10</v>
      </c>
      <c r="B14" s="5" t="s">
        <v>23</v>
      </c>
      <c r="C14" s="30" t="s">
        <v>199</v>
      </c>
      <c r="D14" s="18" t="s">
        <v>35</v>
      </c>
      <c r="E14" s="85">
        <v>42915</v>
      </c>
      <c r="F14" s="9" t="s">
        <v>14</v>
      </c>
      <c r="G14" s="16" t="s">
        <v>32</v>
      </c>
      <c r="H14" s="418" t="s">
        <v>436</v>
      </c>
      <c r="I14" s="357" t="s">
        <v>7</v>
      </c>
      <c r="J14" s="421" t="s">
        <v>251</v>
      </c>
      <c r="K14" s="529" t="s">
        <v>391</v>
      </c>
      <c r="L14" s="379"/>
      <c r="M14" s="323"/>
      <c r="N14" s="324"/>
      <c r="O14" s="380"/>
      <c r="P14" s="323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70"/>
      <c r="AM14" s="43"/>
    </row>
    <row r="15" spans="1:142" s="44" customFormat="1" ht="31.5" x14ac:dyDescent="0.2">
      <c r="A15" s="69">
        <v>11</v>
      </c>
      <c r="B15" s="5" t="s">
        <v>243</v>
      </c>
      <c r="C15" s="30" t="s">
        <v>196</v>
      </c>
      <c r="D15" s="18" t="s">
        <v>35</v>
      </c>
      <c r="E15" s="85">
        <v>42915</v>
      </c>
      <c r="F15" s="9" t="s">
        <v>14</v>
      </c>
      <c r="G15" s="16" t="s">
        <v>32</v>
      </c>
      <c r="H15" s="240" t="s">
        <v>107</v>
      </c>
      <c r="I15" s="357" t="s">
        <v>7</v>
      </c>
      <c r="J15" s="421" t="s">
        <v>15</v>
      </c>
      <c r="K15" s="336" t="s">
        <v>386</v>
      </c>
      <c r="L15" s="379"/>
      <c r="M15" s="323"/>
      <c r="N15" s="324"/>
      <c r="O15" s="380"/>
      <c r="P15" s="323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70"/>
      <c r="AM15" s="43"/>
    </row>
    <row r="16" spans="1:142" ht="25.5" x14ac:dyDescent="0.2">
      <c r="A16" s="67">
        <v>12</v>
      </c>
      <c r="B16" s="4" t="s">
        <v>19</v>
      </c>
      <c r="C16" s="6" t="s">
        <v>192</v>
      </c>
      <c r="D16" s="12" t="s">
        <v>35</v>
      </c>
      <c r="E16" s="85">
        <v>42915</v>
      </c>
      <c r="F16" s="6" t="s">
        <v>14</v>
      </c>
      <c r="G16" s="15" t="s">
        <v>31</v>
      </c>
      <c r="H16" s="337"/>
      <c r="I16" s="203" t="s">
        <v>7</v>
      </c>
      <c r="J16" s="406" t="s">
        <v>16</v>
      </c>
      <c r="K16" s="530" t="s">
        <v>393</v>
      </c>
      <c r="L16" s="26">
        <v>2</v>
      </c>
      <c r="M16" s="275"/>
      <c r="N16" s="276"/>
      <c r="O16" s="277"/>
      <c r="P16" s="275"/>
      <c r="Q16" s="8">
        <v>2</v>
      </c>
      <c r="R16" s="8">
        <v>1</v>
      </c>
      <c r="S16" s="8">
        <v>1</v>
      </c>
      <c r="T16" s="8">
        <v>1</v>
      </c>
      <c r="U16" s="8">
        <v>1</v>
      </c>
      <c r="V16" s="8"/>
      <c r="W16" s="8">
        <v>1</v>
      </c>
      <c r="X16" s="8"/>
      <c r="Y16" s="8"/>
      <c r="Z16" s="8"/>
      <c r="AA16" s="8">
        <v>1</v>
      </c>
      <c r="AB16" s="8">
        <v>1</v>
      </c>
      <c r="AC16" s="8"/>
      <c r="AD16" s="8"/>
      <c r="AE16" s="8"/>
      <c r="AF16" s="8"/>
      <c r="AG16" s="8"/>
      <c r="AH16" s="8">
        <v>1</v>
      </c>
      <c r="AI16" s="8"/>
      <c r="AJ16" s="8"/>
      <c r="AK16" s="68"/>
      <c r="AL16" s="1"/>
      <c r="AM16" s="14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</row>
    <row r="17" spans="1:142" s="44" customFormat="1" ht="15.75" x14ac:dyDescent="0.2">
      <c r="A17" s="69">
        <v>13</v>
      </c>
      <c r="B17" s="5" t="s">
        <v>27</v>
      </c>
      <c r="C17" s="30" t="s">
        <v>203</v>
      </c>
      <c r="D17" s="18" t="s">
        <v>35</v>
      </c>
      <c r="E17" s="85">
        <v>42915</v>
      </c>
      <c r="F17" s="9" t="s">
        <v>14</v>
      </c>
      <c r="G17" s="16" t="s">
        <v>31</v>
      </c>
      <c r="H17" s="419"/>
      <c r="I17" s="357" t="s">
        <v>7</v>
      </c>
      <c r="J17" s="421" t="s">
        <v>17</v>
      </c>
      <c r="K17" s="336" t="s">
        <v>385</v>
      </c>
      <c r="L17" s="379">
        <v>1</v>
      </c>
      <c r="M17" s="323"/>
      <c r="N17" s="324"/>
      <c r="O17" s="380"/>
      <c r="P17" s="323"/>
      <c r="Q17" s="10">
        <v>2</v>
      </c>
      <c r="R17" s="10">
        <v>1</v>
      </c>
      <c r="S17" s="10">
        <v>1</v>
      </c>
      <c r="T17" s="10">
        <v>1</v>
      </c>
      <c r="U17" s="10">
        <v>1</v>
      </c>
      <c r="V17" s="10"/>
      <c r="W17" s="10">
        <v>1</v>
      </c>
      <c r="X17" s="10"/>
      <c r="Y17" s="10"/>
      <c r="Z17" s="10"/>
      <c r="AA17" s="10">
        <v>0</v>
      </c>
      <c r="AB17" s="10">
        <v>1</v>
      </c>
      <c r="AC17" s="10"/>
      <c r="AD17" s="10"/>
      <c r="AE17" s="10"/>
      <c r="AF17" s="10"/>
      <c r="AG17" s="10"/>
      <c r="AH17" s="10">
        <v>1</v>
      </c>
      <c r="AI17" s="10"/>
      <c r="AJ17" s="10"/>
      <c r="AK17" s="70" t="s">
        <v>456</v>
      </c>
    </row>
    <row r="18" spans="1:142" s="44" customFormat="1" ht="63.75" x14ac:dyDescent="0.2">
      <c r="A18" s="69">
        <v>14</v>
      </c>
      <c r="B18" s="80" t="s">
        <v>120</v>
      </c>
      <c r="C18" s="51" t="s">
        <v>371</v>
      </c>
      <c r="D18" s="213" t="s">
        <v>215</v>
      </c>
      <c r="E18" s="85">
        <v>42915</v>
      </c>
      <c r="F18" s="214" t="s">
        <v>7</v>
      </c>
      <c r="G18" s="215" t="s">
        <v>18</v>
      </c>
      <c r="H18" s="320"/>
      <c r="I18" s="357" t="s">
        <v>14</v>
      </c>
      <c r="J18" s="421" t="s">
        <v>292</v>
      </c>
      <c r="K18" s="529" t="s">
        <v>477</v>
      </c>
      <c r="L18" s="379">
        <v>6</v>
      </c>
      <c r="M18" s="323"/>
      <c r="N18" s="324"/>
      <c r="O18" s="380"/>
      <c r="P18" s="323">
        <v>1</v>
      </c>
      <c r="Q18" s="324"/>
      <c r="R18" s="324">
        <v>1</v>
      </c>
      <c r="S18" s="324">
        <v>1</v>
      </c>
      <c r="T18" s="324"/>
      <c r="U18" s="324"/>
      <c r="V18" s="324">
        <v>1</v>
      </c>
      <c r="W18" s="324">
        <v>1</v>
      </c>
      <c r="X18" s="324"/>
      <c r="Y18" s="324">
        <v>1</v>
      </c>
      <c r="Z18" s="324">
        <v>2</v>
      </c>
      <c r="AA18" s="324">
        <v>2</v>
      </c>
      <c r="AB18" s="324">
        <v>2</v>
      </c>
      <c r="AC18" s="324"/>
      <c r="AD18" s="324">
        <v>3</v>
      </c>
      <c r="AE18" s="324">
        <v>1</v>
      </c>
      <c r="AF18" s="324"/>
      <c r="AG18" s="324">
        <v>1</v>
      </c>
      <c r="AH18" s="324">
        <v>1</v>
      </c>
      <c r="AI18" s="324"/>
      <c r="AJ18" s="324">
        <v>1</v>
      </c>
      <c r="AK18" s="615" t="s">
        <v>483</v>
      </c>
    </row>
    <row r="19" spans="1:142" s="3" customFormat="1" ht="15.75" x14ac:dyDescent="0.2">
      <c r="A19" s="67">
        <v>15</v>
      </c>
      <c r="B19" s="328" t="s">
        <v>129</v>
      </c>
      <c r="C19" s="327" t="s">
        <v>358</v>
      </c>
      <c r="D19" s="329" t="s">
        <v>216</v>
      </c>
      <c r="E19" s="85">
        <v>42915</v>
      </c>
      <c r="F19" s="330" t="s">
        <v>14</v>
      </c>
      <c r="G19" s="331" t="s">
        <v>89</v>
      </c>
      <c r="H19" s="420"/>
      <c r="I19" s="422" t="s">
        <v>14</v>
      </c>
      <c r="J19" s="261" t="s">
        <v>293</v>
      </c>
      <c r="K19" s="423" t="s">
        <v>385</v>
      </c>
      <c r="L19" s="425"/>
      <c r="M19" s="281"/>
      <c r="N19" s="224"/>
      <c r="O19" s="423"/>
      <c r="P19" s="281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332"/>
    </row>
    <row r="20" spans="1:142" s="3" customFormat="1" ht="38.25" x14ac:dyDescent="0.2">
      <c r="A20" s="69">
        <v>16</v>
      </c>
      <c r="B20" s="4" t="s">
        <v>395</v>
      </c>
      <c r="C20" s="41" t="s">
        <v>372</v>
      </c>
      <c r="D20" s="88" t="s">
        <v>216</v>
      </c>
      <c r="E20" s="85">
        <v>42915</v>
      </c>
      <c r="F20" s="6" t="s">
        <v>14</v>
      </c>
      <c r="G20" s="15" t="s">
        <v>397</v>
      </c>
      <c r="H20" s="532" t="s">
        <v>396</v>
      </c>
      <c r="I20" s="203" t="s">
        <v>14</v>
      </c>
      <c r="J20" s="406" t="s">
        <v>293</v>
      </c>
      <c r="K20" s="407"/>
      <c r="L20" s="415"/>
      <c r="M20" s="338"/>
      <c r="N20" s="339"/>
      <c r="O20" s="416"/>
      <c r="P20" s="338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40"/>
    </row>
    <row r="21" spans="1:142" s="44" customFormat="1" ht="15.75" x14ac:dyDescent="0.2">
      <c r="A21" s="67">
        <v>17</v>
      </c>
      <c r="B21" s="5" t="s">
        <v>25</v>
      </c>
      <c r="C21" s="30" t="s">
        <v>201</v>
      </c>
      <c r="D21" s="18" t="s">
        <v>35</v>
      </c>
      <c r="E21" s="85">
        <v>42915</v>
      </c>
      <c r="F21" s="9" t="s">
        <v>14</v>
      </c>
      <c r="G21" s="16" t="s">
        <v>32</v>
      </c>
      <c r="H21" s="419"/>
      <c r="I21" s="357" t="s">
        <v>7</v>
      </c>
      <c r="J21" s="421" t="s">
        <v>17</v>
      </c>
      <c r="K21" s="336" t="s">
        <v>386</v>
      </c>
      <c r="L21" s="379"/>
      <c r="M21" s="323"/>
      <c r="N21" s="324"/>
      <c r="O21" s="380"/>
      <c r="P21" s="323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70"/>
    </row>
    <row r="22" spans="1:142" s="296" customFormat="1" ht="16.5" thickBot="1" x14ac:dyDescent="0.25">
      <c r="A22" s="292"/>
      <c r="B22" s="293"/>
      <c r="C22" s="294"/>
      <c r="D22" s="295"/>
      <c r="E22" s="85"/>
      <c r="F22" s="154"/>
      <c r="G22" s="154"/>
      <c r="H22" s="401"/>
      <c r="I22" s="411"/>
      <c r="J22" s="412"/>
      <c r="K22" s="413"/>
      <c r="L22" s="411"/>
      <c r="M22" s="613"/>
      <c r="N22" s="426"/>
      <c r="O22" s="398"/>
      <c r="P22" s="153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333"/>
    </row>
    <row r="23" spans="1:142" x14ac:dyDescent="0.2">
      <c r="B23" s="17"/>
      <c r="C23" s="17"/>
      <c r="O23" s="2" t="s">
        <v>191</v>
      </c>
      <c r="P23" s="42">
        <f t="shared" ref="P23:AJ23" si="0">SUM(P7:P22)</f>
        <v>1</v>
      </c>
      <c r="Q23" s="42">
        <f t="shared" si="0"/>
        <v>10</v>
      </c>
      <c r="R23" s="42">
        <f t="shared" si="0"/>
        <v>7</v>
      </c>
      <c r="S23" s="42">
        <f t="shared" si="0"/>
        <v>7</v>
      </c>
      <c r="T23" s="42">
        <f t="shared" si="0"/>
        <v>6</v>
      </c>
      <c r="U23" s="42">
        <f t="shared" si="0"/>
        <v>8</v>
      </c>
      <c r="V23" s="42">
        <f t="shared" si="0"/>
        <v>1</v>
      </c>
      <c r="W23" s="42">
        <f t="shared" si="0"/>
        <v>7</v>
      </c>
      <c r="X23" s="42">
        <f t="shared" si="0"/>
        <v>0</v>
      </c>
      <c r="Y23" s="42">
        <f t="shared" si="0"/>
        <v>3</v>
      </c>
      <c r="Z23" s="42">
        <f t="shared" si="0"/>
        <v>4</v>
      </c>
      <c r="AA23" s="42">
        <f t="shared" si="0"/>
        <v>3</v>
      </c>
      <c r="AB23" s="42">
        <f t="shared" si="0"/>
        <v>8</v>
      </c>
      <c r="AC23" s="42">
        <f t="shared" si="0"/>
        <v>0</v>
      </c>
      <c r="AD23" s="42">
        <f t="shared" si="0"/>
        <v>5</v>
      </c>
      <c r="AE23" s="42">
        <f t="shared" si="0"/>
        <v>1</v>
      </c>
      <c r="AF23" s="42">
        <f t="shared" si="0"/>
        <v>2</v>
      </c>
      <c r="AG23" s="42">
        <f t="shared" si="0"/>
        <v>1</v>
      </c>
      <c r="AH23" s="42">
        <f t="shared" si="0"/>
        <v>3</v>
      </c>
      <c r="AI23" s="42">
        <f t="shared" si="0"/>
        <v>0</v>
      </c>
      <c r="AJ23" s="42">
        <f t="shared" si="0"/>
        <v>2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</row>
  </sheetData>
  <mergeCells count="6">
    <mergeCell ref="A1:AK1"/>
    <mergeCell ref="A2:AK2"/>
    <mergeCell ref="E3:H3"/>
    <mergeCell ref="I3:K3"/>
    <mergeCell ref="L3:O3"/>
    <mergeCell ref="P3:AK3"/>
  </mergeCells>
  <conditionalFormatting sqref="K10">
    <cfRule type="cellIs" dxfId="138" priority="8" stopIfTrue="1" operator="equal">
      <formula>"neu"</formula>
    </cfRule>
  </conditionalFormatting>
  <conditionalFormatting sqref="K13:AJ13">
    <cfRule type="cellIs" dxfId="137" priority="7" stopIfTrue="1" operator="equal">
      <formula>"neu"</formula>
    </cfRule>
  </conditionalFormatting>
  <conditionalFormatting sqref="K14:AJ14">
    <cfRule type="cellIs" dxfId="136" priority="6" stopIfTrue="1" operator="equal">
      <formula>"neu"</formula>
    </cfRule>
  </conditionalFormatting>
  <conditionalFormatting sqref="K15:AJ15">
    <cfRule type="cellIs" dxfId="135" priority="5" stopIfTrue="1" operator="equal">
      <formula>"neu"</formula>
    </cfRule>
  </conditionalFormatting>
  <conditionalFormatting sqref="K16:AJ16">
    <cfRule type="cellIs" dxfId="134" priority="4" stopIfTrue="1" operator="equal">
      <formula>"neu"</formula>
    </cfRule>
  </conditionalFormatting>
  <conditionalFormatting sqref="K17:AJ17">
    <cfRule type="cellIs" dxfId="133" priority="3" stopIfTrue="1" operator="equal">
      <formula>"neu"</formula>
    </cfRule>
  </conditionalFormatting>
  <conditionalFormatting sqref="K19">
    <cfRule type="cellIs" dxfId="132" priority="2" stopIfTrue="1" operator="equal">
      <formula>"neu"</formula>
    </cfRule>
  </conditionalFormatting>
  <conditionalFormatting sqref="K21:AJ21">
    <cfRule type="cellIs" dxfId="131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EL22"/>
  <sheetViews>
    <sheetView showGridLines="0" zoomScale="80" zoomScaleNormal="80" zoomScaleSheetLayoutView="84" workbookViewId="0">
      <pane ySplit="4" topLeftCell="A5" activePane="bottomLeft" state="frozen"/>
      <selection pane="bottomLeft" activeCell="J37" sqref="J37"/>
    </sheetView>
  </sheetViews>
  <sheetFormatPr baseColWidth="10" defaultRowHeight="12.75" x14ac:dyDescent="0.2"/>
  <cols>
    <col min="1" max="1" width="5.28515625" style="1" customWidth="1"/>
    <col min="2" max="2" width="25.140625" style="2" customWidth="1"/>
    <col min="3" max="3" width="10.5703125" style="2" customWidth="1"/>
    <col min="4" max="4" width="12.85546875" style="1" customWidth="1"/>
    <col min="5" max="5" width="10.710937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28515625" style="1" bestFit="1" customWidth="1"/>
    <col min="11" max="11" width="14.85546875" style="2" customWidth="1"/>
    <col min="12" max="15" width="9.140625" style="2" customWidth="1"/>
    <col min="16" max="36" width="4.7109375" style="2" customWidth="1"/>
    <col min="37" max="37" width="52.5703125" style="2" customWidth="1"/>
    <col min="38" max="142" width="11.42578125" style="3"/>
    <col min="143" max="16384" width="11.42578125" style="1"/>
  </cols>
  <sheetData>
    <row r="1" spans="1:39" ht="30.75" customHeight="1" thickBot="1" x14ac:dyDescent="0.25">
      <c r="A1" s="629" t="s">
        <v>446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1"/>
      <c r="AK1" s="632"/>
    </row>
    <row r="2" spans="1:39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4"/>
      <c r="AJ2" s="635"/>
      <c r="AK2" s="636"/>
    </row>
    <row r="3" spans="1:39" ht="13.5" thickBot="1" x14ac:dyDescent="0.25">
      <c r="A3" s="37"/>
      <c r="B3" s="35"/>
      <c r="C3" s="39"/>
      <c r="D3" s="90"/>
      <c r="E3" s="637" t="s">
        <v>5</v>
      </c>
      <c r="F3" s="638"/>
      <c r="G3" s="638"/>
      <c r="H3" s="639"/>
      <c r="I3" s="640" t="s">
        <v>11</v>
      </c>
      <c r="J3" s="640"/>
      <c r="K3" s="640"/>
      <c r="L3" s="641" t="s">
        <v>237</v>
      </c>
      <c r="M3" s="640"/>
      <c r="N3" s="640"/>
      <c r="O3" s="642"/>
      <c r="P3" s="640" t="s">
        <v>189</v>
      </c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2"/>
    </row>
    <row r="4" spans="1:39" s="3" customFormat="1" ht="141.75" customHeight="1" thickBot="1" x14ac:dyDescent="0.25">
      <c r="A4" s="20" t="s">
        <v>0</v>
      </c>
      <c r="B4" s="36" t="s">
        <v>1</v>
      </c>
      <c r="C4" s="21" t="s">
        <v>184</v>
      </c>
      <c r="D4" s="91" t="s">
        <v>6</v>
      </c>
      <c r="E4" s="52" t="s">
        <v>2</v>
      </c>
      <c r="F4" s="55" t="s">
        <v>3</v>
      </c>
      <c r="G4" s="61" t="s">
        <v>235</v>
      </c>
      <c r="H4" s="56" t="s">
        <v>10</v>
      </c>
      <c r="I4" s="23" t="s">
        <v>12</v>
      </c>
      <c r="J4" s="96" t="s">
        <v>236</v>
      </c>
      <c r="K4" s="97" t="s">
        <v>240</v>
      </c>
      <c r="L4" s="94" t="s">
        <v>185</v>
      </c>
      <c r="M4" s="564" t="s">
        <v>430</v>
      </c>
      <c r="N4" s="31" t="s">
        <v>186</v>
      </c>
      <c r="O4" s="95" t="s">
        <v>187</v>
      </c>
      <c r="P4" s="93" t="s">
        <v>163</v>
      </c>
      <c r="Q4" s="32" t="s">
        <v>164</v>
      </c>
      <c r="R4" s="32" t="s">
        <v>165</v>
      </c>
      <c r="S4" s="32" t="s">
        <v>166</v>
      </c>
      <c r="T4" s="32" t="s">
        <v>167</v>
      </c>
      <c r="U4" s="32" t="s">
        <v>168</v>
      </c>
      <c r="V4" s="32" t="s">
        <v>169</v>
      </c>
      <c r="W4" s="32" t="s">
        <v>170</v>
      </c>
      <c r="X4" s="32" t="s">
        <v>171</v>
      </c>
      <c r="Y4" s="32" t="s">
        <v>172</v>
      </c>
      <c r="Z4" s="32" t="s">
        <v>173</v>
      </c>
      <c r="AA4" s="32" t="s">
        <v>174</v>
      </c>
      <c r="AB4" s="32" t="s">
        <v>175</v>
      </c>
      <c r="AC4" s="32" t="s">
        <v>176</v>
      </c>
      <c r="AD4" s="32" t="s">
        <v>177</v>
      </c>
      <c r="AE4" s="32" t="s">
        <v>178</v>
      </c>
      <c r="AF4" s="32" t="s">
        <v>179</v>
      </c>
      <c r="AG4" s="32" t="s">
        <v>180</v>
      </c>
      <c r="AH4" s="32" t="s">
        <v>181</v>
      </c>
      <c r="AI4" s="32" t="s">
        <v>182</v>
      </c>
      <c r="AJ4" s="33" t="s">
        <v>183</v>
      </c>
      <c r="AK4" s="34" t="s">
        <v>190</v>
      </c>
    </row>
    <row r="5" spans="1:39" s="44" customFormat="1" ht="25.5" x14ac:dyDescent="0.2">
      <c r="A5" s="69">
        <v>1</v>
      </c>
      <c r="B5" s="5" t="s">
        <v>28</v>
      </c>
      <c r="C5" s="30" t="s">
        <v>204</v>
      </c>
      <c r="D5" s="240" t="s">
        <v>35</v>
      </c>
      <c r="E5" s="247">
        <v>42921</v>
      </c>
      <c r="F5" s="248" t="s">
        <v>14</v>
      </c>
      <c r="G5" s="248">
        <v>104</v>
      </c>
      <c r="H5" s="427"/>
      <c r="I5" s="244" t="s">
        <v>7</v>
      </c>
      <c r="J5" s="71" t="s">
        <v>16</v>
      </c>
      <c r="K5" s="418" t="s">
        <v>394</v>
      </c>
      <c r="L5" s="435"/>
      <c r="M5" s="560"/>
      <c r="N5" s="248"/>
      <c r="O5" s="436"/>
      <c r="P5" s="244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70"/>
    </row>
    <row r="6" spans="1:39" s="3" customFormat="1" ht="15.75" x14ac:dyDescent="0.2">
      <c r="A6" s="67">
        <v>2</v>
      </c>
      <c r="B6" s="74" t="s">
        <v>65</v>
      </c>
      <c r="C6" s="45" t="s">
        <v>378</v>
      </c>
      <c r="D6" s="92" t="s">
        <v>214</v>
      </c>
      <c r="E6" s="98">
        <v>42921</v>
      </c>
      <c r="F6" s="231" t="s">
        <v>14</v>
      </c>
      <c r="G6" s="230">
        <v>111</v>
      </c>
      <c r="H6" s="229"/>
      <c r="I6" s="266" t="s">
        <v>14</v>
      </c>
      <c r="J6" s="78">
        <v>104</v>
      </c>
      <c r="K6" s="24"/>
      <c r="L6" s="26"/>
      <c r="M6" s="275"/>
      <c r="N6" s="276"/>
      <c r="O6" s="277"/>
      <c r="P6" s="275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79"/>
    </row>
    <row r="7" spans="1:39" s="44" customFormat="1" ht="15.75" x14ac:dyDescent="0.2">
      <c r="A7" s="69">
        <v>3</v>
      </c>
      <c r="B7" s="5" t="s">
        <v>447</v>
      </c>
      <c r="C7" s="51" t="s">
        <v>379</v>
      </c>
      <c r="D7" s="242" t="s">
        <v>214</v>
      </c>
      <c r="E7" s="459">
        <v>42921</v>
      </c>
      <c r="F7" s="251" t="s">
        <v>14</v>
      </c>
      <c r="G7" s="252">
        <v>111</v>
      </c>
      <c r="H7" s="253"/>
      <c r="I7" s="321" t="s">
        <v>14</v>
      </c>
      <c r="J7" s="76">
        <v>104</v>
      </c>
      <c r="K7" s="25"/>
      <c r="L7" s="379"/>
      <c r="M7" s="323"/>
      <c r="N7" s="324"/>
      <c r="O7" s="380"/>
      <c r="P7" s="323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77"/>
    </row>
    <row r="8" spans="1:39" s="44" customFormat="1" ht="15.75" x14ac:dyDescent="0.2">
      <c r="A8" s="67">
        <v>4</v>
      </c>
      <c r="B8" s="5" t="s">
        <v>380</v>
      </c>
      <c r="C8" s="51"/>
      <c r="D8" s="242" t="s">
        <v>214</v>
      </c>
      <c r="E8" s="98">
        <v>42921</v>
      </c>
      <c r="F8" s="251" t="s">
        <v>14</v>
      </c>
      <c r="G8" s="252">
        <v>111</v>
      </c>
      <c r="H8" s="253"/>
      <c r="I8" s="321" t="s">
        <v>14</v>
      </c>
      <c r="J8" s="76">
        <v>104</v>
      </c>
      <c r="K8" s="25"/>
      <c r="L8" s="379"/>
      <c r="M8" s="323"/>
      <c r="N8" s="324"/>
      <c r="O8" s="380"/>
      <c r="P8" s="32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77"/>
    </row>
    <row r="9" spans="1:39" s="44" customFormat="1" ht="15.75" x14ac:dyDescent="0.2">
      <c r="A9" s="69">
        <v>5</v>
      </c>
      <c r="B9" s="80" t="s">
        <v>63</v>
      </c>
      <c r="C9" s="51" t="s">
        <v>381</v>
      </c>
      <c r="D9" s="242" t="s">
        <v>214</v>
      </c>
      <c r="E9" s="459">
        <v>42921</v>
      </c>
      <c r="F9" s="251" t="s">
        <v>14</v>
      </c>
      <c r="G9" s="252">
        <v>112</v>
      </c>
      <c r="H9" s="253"/>
      <c r="I9" s="244" t="s">
        <v>14</v>
      </c>
      <c r="J9" s="76">
        <v>111</v>
      </c>
      <c r="K9" s="25"/>
      <c r="L9" s="379"/>
      <c r="M9" s="323"/>
      <c r="N9" s="324"/>
      <c r="O9" s="380"/>
      <c r="P9" s="323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77"/>
    </row>
    <row r="10" spans="1:39" s="44" customFormat="1" ht="25.5" x14ac:dyDescent="0.2">
      <c r="A10" s="67">
        <v>6</v>
      </c>
      <c r="B10" s="5" t="s">
        <v>20</v>
      </c>
      <c r="C10" s="9" t="s">
        <v>193</v>
      </c>
      <c r="D10" s="240" t="s">
        <v>35</v>
      </c>
      <c r="E10" s="98">
        <v>42921</v>
      </c>
      <c r="F10" s="238" t="s">
        <v>14</v>
      </c>
      <c r="G10" s="238">
        <v>149</v>
      </c>
      <c r="H10" s="336"/>
      <c r="I10" s="244" t="s">
        <v>7</v>
      </c>
      <c r="J10" s="71" t="s">
        <v>251</v>
      </c>
      <c r="K10" s="418" t="s">
        <v>389</v>
      </c>
      <c r="L10" s="379"/>
      <c r="M10" s="323"/>
      <c r="N10" s="324"/>
      <c r="O10" s="380"/>
      <c r="P10" s="323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70"/>
      <c r="AM10" s="43"/>
    </row>
    <row r="11" spans="1:39" s="44" customFormat="1" ht="25.5" x14ac:dyDescent="0.2">
      <c r="A11" s="69">
        <v>7</v>
      </c>
      <c r="B11" s="5" t="s">
        <v>21</v>
      </c>
      <c r="C11" s="30" t="s">
        <v>195</v>
      </c>
      <c r="D11" s="240" t="s">
        <v>35</v>
      </c>
      <c r="E11" s="459">
        <v>42921</v>
      </c>
      <c r="F11" s="238" t="s">
        <v>14</v>
      </c>
      <c r="G11" s="238">
        <v>149</v>
      </c>
      <c r="H11" s="336"/>
      <c r="I11" s="244" t="s">
        <v>7</v>
      </c>
      <c r="J11" s="71" t="s">
        <v>251</v>
      </c>
      <c r="K11" s="418" t="s">
        <v>390</v>
      </c>
      <c r="L11" s="379"/>
      <c r="M11" s="323"/>
      <c r="N11" s="324"/>
      <c r="O11" s="380"/>
      <c r="P11" s="323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70"/>
      <c r="AM11" s="43"/>
    </row>
    <row r="12" spans="1:39" s="44" customFormat="1" ht="25.5" x14ac:dyDescent="0.2">
      <c r="A12" s="67">
        <v>8</v>
      </c>
      <c r="B12" s="5" t="s">
        <v>26</v>
      </c>
      <c r="C12" s="30" t="s">
        <v>202</v>
      </c>
      <c r="D12" s="240" t="s">
        <v>35</v>
      </c>
      <c r="E12" s="98">
        <v>42921</v>
      </c>
      <c r="F12" s="238" t="s">
        <v>14</v>
      </c>
      <c r="G12" s="238">
        <v>149</v>
      </c>
      <c r="H12" s="428" t="s">
        <v>160</v>
      </c>
      <c r="I12" s="244" t="s">
        <v>7</v>
      </c>
      <c r="J12" s="71" t="s">
        <v>251</v>
      </c>
      <c r="K12" s="418" t="s">
        <v>392</v>
      </c>
      <c r="L12" s="379"/>
      <c r="M12" s="323"/>
      <c r="N12" s="324"/>
      <c r="O12" s="380"/>
      <c r="P12" s="323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70"/>
    </row>
    <row r="13" spans="1:39" s="44" customFormat="1" ht="15.75" x14ac:dyDescent="0.2">
      <c r="A13" s="69">
        <v>9</v>
      </c>
      <c r="B13" s="5" t="s">
        <v>41</v>
      </c>
      <c r="C13" s="30" t="s">
        <v>328</v>
      </c>
      <c r="D13" s="240" t="s">
        <v>211</v>
      </c>
      <c r="E13" s="459">
        <v>42921</v>
      </c>
      <c r="F13" s="244" t="s">
        <v>7</v>
      </c>
      <c r="G13" s="421" t="s">
        <v>155</v>
      </c>
      <c r="H13" s="249"/>
      <c r="I13" s="244" t="s">
        <v>7</v>
      </c>
      <c r="J13" s="71">
        <v>731</v>
      </c>
      <c r="K13" s="25"/>
      <c r="L13" s="379"/>
      <c r="M13" s="323" t="s">
        <v>431</v>
      </c>
      <c r="N13" s="324"/>
      <c r="O13" s="380"/>
      <c r="P13" s="323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70"/>
      <c r="AM13" s="43"/>
    </row>
    <row r="14" spans="1:39" s="44" customFormat="1" ht="15.75" x14ac:dyDescent="0.2">
      <c r="A14" s="67">
        <v>10</v>
      </c>
      <c r="B14" s="471" t="s">
        <v>30</v>
      </c>
      <c r="C14" s="30" t="s">
        <v>207</v>
      </c>
      <c r="D14" s="240" t="s">
        <v>35</v>
      </c>
      <c r="E14" s="98">
        <v>42921</v>
      </c>
      <c r="F14" s="238" t="s">
        <v>14</v>
      </c>
      <c r="G14" s="238">
        <v>704</v>
      </c>
      <c r="H14" s="429"/>
      <c r="I14" s="244" t="s">
        <v>7</v>
      </c>
      <c r="J14" s="71" t="s">
        <v>18</v>
      </c>
      <c r="K14" s="240" t="s">
        <v>385</v>
      </c>
      <c r="L14" s="379"/>
      <c r="M14" s="323" t="s">
        <v>431</v>
      </c>
      <c r="N14" s="324"/>
      <c r="O14" s="380"/>
      <c r="P14" s="323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70"/>
    </row>
    <row r="15" spans="1:39" s="236" customFormat="1" ht="25.5" x14ac:dyDescent="0.2">
      <c r="A15" s="69">
        <v>11</v>
      </c>
      <c r="B15" s="471" t="s">
        <v>241</v>
      </c>
      <c r="C15" s="30" t="s">
        <v>206</v>
      </c>
      <c r="D15" s="240" t="s">
        <v>35</v>
      </c>
      <c r="E15" s="459">
        <v>42921</v>
      </c>
      <c r="F15" s="238" t="s">
        <v>7</v>
      </c>
      <c r="G15" s="531">
        <v>732</v>
      </c>
      <c r="H15" s="529" t="s">
        <v>468</v>
      </c>
      <c r="I15" s="244" t="s">
        <v>7</v>
      </c>
      <c r="J15" s="71" t="s">
        <v>18</v>
      </c>
      <c r="K15" s="240" t="s">
        <v>386</v>
      </c>
      <c r="L15" s="358"/>
      <c r="M15" s="244" t="s">
        <v>431</v>
      </c>
      <c r="N15" s="250"/>
      <c r="O15" s="381"/>
      <c r="P15" s="37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19" t="s">
        <v>437</v>
      </c>
    </row>
    <row r="16" spans="1:39" s="3" customFormat="1" ht="15.75" x14ac:dyDescent="0.2">
      <c r="A16" s="69">
        <v>13</v>
      </c>
      <c r="B16" s="5" t="s">
        <v>148</v>
      </c>
      <c r="C16" s="41" t="s">
        <v>230</v>
      </c>
      <c r="D16" s="325" t="s">
        <v>216</v>
      </c>
      <c r="E16" s="98">
        <v>42921</v>
      </c>
      <c r="F16" s="314" t="s">
        <v>14</v>
      </c>
      <c r="G16" s="314">
        <v>146</v>
      </c>
      <c r="H16" s="432"/>
      <c r="I16" s="245" t="s">
        <v>14</v>
      </c>
      <c r="J16" s="7">
        <v>101</v>
      </c>
      <c r="K16" s="24"/>
      <c r="L16" s="415"/>
      <c r="M16" s="338"/>
      <c r="N16" s="339"/>
      <c r="O16" s="416"/>
      <c r="P16" s="338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604"/>
      <c r="AL16" s="40"/>
    </row>
    <row r="17" spans="1:142" s="3" customFormat="1" ht="25.5" x14ac:dyDescent="0.2">
      <c r="A17" s="67">
        <v>14</v>
      </c>
      <c r="B17" s="5" t="s">
        <v>149</v>
      </c>
      <c r="C17" s="586" t="s">
        <v>441</v>
      </c>
      <c r="D17" s="325" t="s">
        <v>216</v>
      </c>
      <c r="E17" s="459">
        <v>42921</v>
      </c>
      <c r="F17" s="314" t="s">
        <v>14</v>
      </c>
      <c r="G17" s="314">
        <v>101</v>
      </c>
      <c r="H17" s="432"/>
      <c r="I17" s="245" t="s">
        <v>14</v>
      </c>
      <c r="J17" s="7">
        <v>149</v>
      </c>
      <c r="K17" s="603" t="s">
        <v>463</v>
      </c>
      <c r="L17" s="415">
        <v>3</v>
      </c>
      <c r="M17" s="338"/>
      <c r="N17" s="339">
        <v>1</v>
      </c>
      <c r="O17" s="416">
        <v>0</v>
      </c>
      <c r="P17" s="338">
        <v>2</v>
      </c>
      <c r="Q17" s="83">
        <v>0</v>
      </c>
      <c r="R17" s="83">
        <v>1</v>
      </c>
      <c r="S17" s="83">
        <v>1</v>
      </c>
      <c r="T17" s="83">
        <v>0</v>
      </c>
      <c r="U17" s="83">
        <v>0</v>
      </c>
      <c r="V17" s="83">
        <v>1</v>
      </c>
      <c r="W17" s="83">
        <v>1</v>
      </c>
      <c r="X17" s="83">
        <v>0</v>
      </c>
      <c r="Y17" s="83">
        <v>0</v>
      </c>
      <c r="Z17" s="83">
        <v>0</v>
      </c>
      <c r="AA17" s="83">
        <v>1</v>
      </c>
      <c r="AB17" s="83">
        <v>0</v>
      </c>
      <c r="AC17" s="83">
        <v>1</v>
      </c>
      <c r="AD17" s="83">
        <v>0</v>
      </c>
      <c r="AE17" s="83">
        <v>0</v>
      </c>
      <c r="AF17" s="83">
        <v>0</v>
      </c>
      <c r="AG17" s="83">
        <v>0</v>
      </c>
      <c r="AH17" s="83">
        <v>1</v>
      </c>
      <c r="AI17" s="83">
        <v>0</v>
      </c>
      <c r="AJ17" s="83">
        <v>0</v>
      </c>
      <c r="AK17" s="604" t="s">
        <v>462</v>
      </c>
      <c r="AL17" s="40"/>
    </row>
    <row r="18" spans="1:142" s="3" customFormat="1" ht="25.5" x14ac:dyDescent="0.2">
      <c r="A18" s="69">
        <v>15</v>
      </c>
      <c r="B18" s="5" t="s">
        <v>443</v>
      </c>
      <c r="C18" s="41" t="s">
        <v>442</v>
      </c>
      <c r="D18" s="325" t="s">
        <v>216</v>
      </c>
      <c r="E18" s="98">
        <v>42921</v>
      </c>
      <c r="F18" s="314" t="s">
        <v>14</v>
      </c>
      <c r="G18" s="314"/>
      <c r="H18" s="432"/>
      <c r="I18" s="245" t="s">
        <v>14</v>
      </c>
      <c r="J18" s="7">
        <v>149</v>
      </c>
      <c r="K18" s="584" t="s">
        <v>464</v>
      </c>
      <c r="L18" s="438"/>
      <c r="M18" s="434"/>
      <c r="N18" s="439"/>
      <c r="O18" s="440"/>
      <c r="P18" s="434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604"/>
      <c r="AL18" s="40"/>
    </row>
    <row r="19" spans="1:142" s="3" customFormat="1" ht="25.5" x14ac:dyDescent="0.2">
      <c r="A19" s="67">
        <v>16</v>
      </c>
      <c r="B19" s="5" t="s">
        <v>143</v>
      </c>
      <c r="C19" s="41" t="s">
        <v>444</v>
      </c>
      <c r="D19" s="325" t="s">
        <v>216</v>
      </c>
      <c r="E19" s="459">
        <v>42921</v>
      </c>
      <c r="F19" s="314" t="s">
        <v>14</v>
      </c>
      <c r="G19" s="314">
        <v>101</v>
      </c>
      <c r="H19" s="432"/>
      <c r="I19" s="245" t="s">
        <v>14</v>
      </c>
      <c r="J19" s="7">
        <v>149</v>
      </c>
      <c r="K19" s="584" t="s">
        <v>465</v>
      </c>
      <c r="L19" s="415">
        <v>5</v>
      </c>
      <c r="M19" s="338"/>
      <c r="N19" s="339">
        <v>1</v>
      </c>
      <c r="O19" s="416"/>
      <c r="P19" s="338">
        <v>2</v>
      </c>
      <c r="Q19" s="83">
        <v>0</v>
      </c>
      <c r="R19" s="83">
        <v>1</v>
      </c>
      <c r="S19" s="83">
        <v>1</v>
      </c>
      <c r="T19" s="83">
        <v>0</v>
      </c>
      <c r="U19" s="83">
        <v>0</v>
      </c>
      <c r="V19" s="83">
        <v>1</v>
      </c>
      <c r="W19" s="83">
        <v>1</v>
      </c>
      <c r="X19" s="83">
        <v>0</v>
      </c>
      <c r="Y19" s="83">
        <v>1</v>
      </c>
      <c r="Z19" s="83">
        <v>1</v>
      </c>
      <c r="AA19" s="83">
        <v>0</v>
      </c>
      <c r="AB19" s="83">
        <v>1</v>
      </c>
      <c r="AC19" s="83">
        <v>0</v>
      </c>
      <c r="AD19" s="83">
        <v>4</v>
      </c>
      <c r="AE19" s="83">
        <v>0</v>
      </c>
      <c r="AF19" s="83">
        <v>0</v>
      </c>
      <c r="AG19" s="83">
        <v>1</v>
      </c>
      <c r="AH19" s="83">
        <v>0</v>
      </c>
      <c r="AI19" s="83">
        <v>0</v>
      </c>
      <c r="AJ19" s="83">
        <v>0</v>
      </c>
      <c r="AK19" s="604" t="s">
        <v>467</v>
      </c>
      <c r="AL19" s="40"/>
    </row>
    <row r="20" spans="1:142" s="3" customFormat="1" ht="25.5" x14ac:dyDescent="0.2">
      <c r="A20" s="69">
        <v>17</v>
      </c>
      <c r="B20" s="5" t="s">
        <v>144</v>
      </c>
      <c r="C20" s="41" t="s">
        <v>445</v>
      </c>
      <c r="D20" s="325" t="s">
        <v>216</v>
      </c>
      <c r="E20" s="459">
        <v>42921</v>
      </c>
      <c r="F20" s="314" t="s">
        <v>14</v>
      </c>
      <c r="G20" s="314">
        <v>101</v>
      </c>
      <c r="H20" s="432"/>
      <c r="I20" s="245" t="s">
        <v>14</v>
      </c>
      <c r="J20" s="7">
        <v>149</v>
      </c>
      <c r="K20" s="603" t="s">
        <v>466</v>
      </c>
      <c r="L20" s="415"/>
      <c r="M20" s="338"/>
      <c r="N20" s="339"/>
      <c r="O20" s="416"/>
      <c r="P20" s="338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40"/>
    </row>
    <row r="21" spans="1:142" s="70" customFormat="1" ht="16.5" thickBot="1" x14ac:dyDescent="0.25">
      <c r="A21" s="107"/>
      <c r="B21" s="167"/>
      <c r="C21" s="186"/>
      <c r="D21" s="187"/>
      <c r="E21" s="271"/>
      <c r="F21" s="211"/>
      <c r="G21" s="211"/>
      <c r="H21" s="272"/>
      <c r="I21" s="267"/>
      <c r="J21" s="188"/>
      <c r="K21" s="274"/>
      <c r="L21" s="204"/>
      <c r="M21" s="561"/>
      <c r="N21" s="211"/>
      <c r="O21" s="212"/>
      <c r="P21" s="267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97"/>
    </row>
    <row r="22" spans="1:142" x14ac:dyDescent="0.2">
      <c r="B22" s="17"/>
      <c r="C22" s="17"/>
      <c r="O22" s="2" t="s">
        <v>191</v>
      </c>
      <c r="P22" s="42">
        <f t="shared" ref="P22:AJ22" si="0">SUM(P5:P21)</f>
        <v>4</v>
      </c>
      <c r="Q22" s="42">
        <f t="shared" si="0"/>
        <v>0</v>
      </c>
      <c r="R22" s="42">
        <f t="shared" si="0"/>
        <v>2</v>
      </c>
      <c r="S22" s="42">
        <f t="shared" si="0"/>
        <v>2</v>
      </c>
      <c r="T22" s="42">
        <f t="shared" si="0"/>
        <v>0</v>
      </c>
      <c r="U22" s="42">
        <f t="shared" si="0"/>
        <v>0</v>
      </c>
      <c r="V22" s="42">
        <f t="shared" si="0"/>
        <v>2</v>
      </c>
      <c r="W22" s="42">
        <f t="shared" si="0"/>
        <v>2</v>
      </c>
      <c r="X22" s="42">
        <f t="shared" si="0"/>
        <v>0</v>
      </c>
      <c r="Y22" s="42">
        <f t="shared" si="0"/>
        <v>1</v>
      </c>
      <c r="Z22" s="42">
        <f t="shared" si="0"/>
        <v>1</v>
      </c>
      <c r="AA22" s="42">
        <f t="shared" si="0"/>
        <v>1</v>
      </c>
      <c r="AB22" s="42">
        <f t="shared" si="0"/>
        <v>1</v>
      </c>
      <c r="AC22" s="42">
        <f t="shared" si="0"/>
        <v>1</v>
      </c>
      <c r="AD22" s="42">
        <f t="shared" si="0"/>
        <v>4</v>
      </c>
      <c r="AE22" s="42">
        <f t="shared" si="0"/>
        <v>0</v>
      </c>
      <c r="AF22" s="42">
        <f t="shared" si="0"/>
        <v>0</v>
      </c>
      <c r="AG22" s="42">
        <f t="shared" si="0"/>
        <v>1</v>
      </c>
      <c r="AH22" s="42">
        <f t="shared" si="0"/>
        <v>1</v>
      </c>
      <c r="AI22" s="42">
        <f t="shared" si="0"/>
        <v>0</v>
      </c>
      <c r="AJ22" s="42">
        <f t="shared" si="0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</row>
  </sheetData>
  <mergeCells count="6">
    <mergeCell ref="A1:AK1"/>
    <mergeCell ref="A2:AK2"/>
    <mergeCell ref="E3:H3"/>
    <mergeCell ref="I3:K3"/>
    <mergeCell ref="L3:O3"/>
    <mergeCell ref="P3:AK3"/>
  </mergeCells>
  <conditionalFormatting sqref="K11:AJ11 L10:AJ10">
    <cfRule type="cellIs" dxfId="90" priority="9" stopIfTrue="1" operator="equal">
      <formula>"neu"</formula>
    </cfRule>
  </conditionalFormatting>
  <conditionalFormatting sqref="K12:AJ12">
    <cfRule type="cellIs" dxfId="89" priority="8" stopIfTrue="1" operator="equal">
      <formula>"neu"</formula>
    </cfRule>
  </conditionalFormatting>
  <conditionalFormatting sqref="K16">
    <cfRule type="cellIs" dxfId="88" priority="7" stopIfTrue="1" operator="equal">
      <formula>"neu"</formula>
    </cfRule>
  </conditionalFormatting>
  <conditionalFormatting sqref="K19">
    <cfRule type="cellIs" dxfId="87" priority="6" stopIfTrue="1" operator="equal">
      <formula>"neu"</formula>
    </cfRule>
  </conditionalFormatting>
  <conditionalFormatting sqref="K13:AJ13">
    <cfRule type="cellIs" dxfId="86" priority="3" stopIfTrue="1" operator="equal">
      <formula>"neu"</formula>
    </cfRule>
  </conditionalFormatting>
  <conditionalFormatting sqref="K10">
    <cfRule type="cellIs" dxfId="85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8" scale="69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32"/>
  <sheetViews>
    <sheetView showGridLines="0" zoomScaleNormal="100" zoomScaleSheetLayoutView="84" workbookViewId="0">
      <pane ySplit="4" topLeftCell="A11" activePane="bottomLeft" state="frozen"/>
      <selection pane="bottomLeft" activeCell="B26" sqref="B26"/>
    </sheetView>
  </sheetViews>
  <sheetFormatPr baseColWidth="10" defaultRowHeight="12.75" x14ac:dyDescent="0.2"/>
  <cols>
    <col min="1" max="1" width="5.28515625" style="1" customWidth="1"/>
    <col min="2" max="2" width="30.5703125" style="2" customWidth="1"/>
    <col min="3" max="3" width="10.5703125" style="2" customWidth="1"/>
    <col min="4" max="4" width="12.85546875" style="1" customWidth="1"/>
    <col min="5" max="5" width="10.140625" style="2" bestFit="1" customWidth="1"/>
    <col min="6" max="6" width="6.7109375" style="2" customWidth="1"/>
    <col min="7" max="7" width="8.42578125" style="1" customWidth="1"/>
    <col min="8" max="8" width="12.42578125" style="2" customWidth="1"/>
    <col min="9" max="9" width="7.140625" style="2" customWidth="1"/>
    <col min="10" max="10" width="10.140625" style="1" bestFit="1" customWidth="1"/>
    <col min="11" max="11" width="13.28515625" style="2" customWidth="1"/>
    <col min="12" max="14" width="10.85546875" style="2" customWidth="1"/>
    <col min="15" max="35" width="4.7109375" style="2" customWidth="1"/>
    <col min="36" max="36" width="36.140625" style="2" customWidth="1"/>
    <col min="37" max="37" width="3.85546875" style="2" customWidth="1"/>
    <col min="38" max="16384" width="11.42578125" style="1"/>
  </cols>
  <sheetData>
    <row r="1" spans="1:37" ht="30.75" customHeight="1" thickBot="1" x14ac:dyDescent="0.25">
      <c r="A1" s="629" t="s">
        <v>13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1"/>
      <c r="AJ1" s="632"/>
    </row>
    <row r="2" spans="1:37" ht="23.25" customHeight="1" thickBot="1" x14ac:dyDescent="0.25">
      <c r="A2" s="633" t="s">
        <v>9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34"/>
      <c r="AI2" s="635"/>
      <c r="AJ2" s="636"/>
    </row>
    <row r="3" spans="1:37" ht="13.5" thickBot="1" x14ac:dyDescent="0.25">
      <c r="A3" s="37"/>
      <c r="B3" s="35"/>
      <c r="C3" s="28"/>
      <c r="D3" s="38"/>
      <c r="E3" s="637" t="s">
        <v>5</v>
      </c>
      <c r="F3" s="638"/>
      <c r="G3" s="638"/>
      <c r="H3" s="639"/>
      <c r="I3" s="640" t="s">
        <v>11</v>
      </c>
      <c r="J3" s="640"/>
      <c r="K3" s="642"/>
      <c r="L3" s="641" t="s">
        <v>188</v>
      </c>
      <c r="M3" s="640"/>
      <c r="N3" s="642"/>
      <c r="O3" s="641" t="s">
        <v>189</v>
      </c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2"/>
      <c r="AK3" s="19"/>
    </row>
    <row r="4" spans="1:37" s="3" customFormat="1" ht="141.75" customHeight="1" x14ac:dyDescent="0.2">
      <c r="A4" s="52" t="s">
        <v>0</v>
      </c>
      <c r="B4" s="53" t="s">
        <v>1</v>
      </c>
      <c r="C4" s="54" t="s">
        <v>184</v>
      </c>
      <c r="D4" s="89" t="s">
        <v>6</v>
      </c>
      <c r="E4" s="52" t="s">
        <v>2</v>
      </c>
      <c r="F4" s="55" t="s">
        <v>3</v>
      </c>
      <c r="G4" s="55" t="s">
        <v>4</v>
      </c>
      <c r="H4" s="56" t="s">
        <v>10</v>
      </c>
      <c r="I4" s="57" t="s">
        <v>12</v>
      </c>
      <c r="J4" s="58" t="s">
        <v>208</v>
      </c>
      <c r="K4" s="59" t="s">
        <v>209</v>
      </c>
      <c r="L4" s="60" t="s">
        <v>185</v>
      </c>
      <c r="M4" s="61" t="s">
        <v>186</v>
      </c>
      <c r="N4" s="62" t="s">
        <v>187</v>
      </c>
      <c r="O4" s="63" t="s">
        <v>163</v>
      </c>
      <c r="P4" s="64" t="s">
        <v>164</v>
      </c>
      <c r="Q4" s="64" t="s">
        <v>165</v>
      </c>
      <c r="R4" s="64" t="s">
        <v>166</v>
      </c>
      <c r="S4" s="64" t="s">
        <v>167</v>
      </c>
      <c r="T4" s="64" t="s">
        <v>168</v>
      </c>
      <c r="U4" s="64" t="s">
        <v>169</v>
      </c>
      <c r="V4" s="64" t="s">
        <v>170</v>
      </c>
      <c r="W4" s="64" t="s">
        <v>171</v>
      </c>
      <c r="X4" s="64" t="s">
        <v>172</v>
      </c>
      <c r="Y4" s="64" t="s">
        <v>173</v>
      </c>
      <c r="Z4" s="64" t="s">
        <v>174</v>
      </c>
      <c r="AA4" s="64" t="s">
        <v>175</v>
      </c>
      <c r="AB4" s="64" t="s">
        <v>176</v>
      </c>
      <c r="AC4" s="64" t="s">
        <v>177</v>
      </c>
      <c r="AD4" s="64" t="s">
        <v>178</v>
      </c>
      <c r="AE4" s="64" t="s">
        <v>179</v>
      </c>
      <c r="AF4" s="64" t="s">
        <v>180</v>
      </c>
      <c r="AG4" s="64" t="s">
        <v>181</v>
      </c>
      <c r="AH4" s="64" t="s">
        <v>182</v>
      </c>
      <c r="AI4" s="65" t="s">
        <v>183</v>
      </c>
      <c r="AJ4" s="66" t="s">
        <v>190</v>
      </c>
    </row>
    <row r="5" spans="1:37" s="44" customFormat="1" ht="15.75" x14ac:dyDescent="0.2">
      <c r="A5" s="69">
        <v>29</v>
      </c>
      <c r="B5" s="5" t="s">
        <v>284</v>
      </c>
      <c r="C5" s="51"/>
      <c r="D5" s="213" t="s">
        <v>214</v>
      </c>
      <c r="E5" s="85"/>
      <c r="F5" s="214" t="s">
        <v>14</v>
      </c>
      <c r="G5" s="215">
        <v>114</v>
      </c>
      <c r="H5" s="215"/>
      <c r="I5" s="75"/>
      <c r="J5" s="76"/>
      <c r="K5" s="10" t="s">
        <v>161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77"/>
    </row>
    <row r="6" spans="1:37" s="44" customFormat="1" ht="15.75" x14ac:dyDescent="0.2">
      <c r="A6" s="69">
        <v>30</v>
      </c>
      <c r="B6" s="74" t="s">
        <v>61</v>
      </c>
      <c r="C6" s="45"/>
      <c r="D6" s="87" t="s">
        <v>214</v>
      </c>
      <c r="E6" s="85"/>
      <c r="F6" s="47" t="s">
        <v>14</v>
      </c>
      <c r="G6" s="50">
        <v>118</v>
      </c>
      <c r="H6" s="50"/>
      <c r="I6" s="75"/>
      <c r="J6" s="76"/>
      <c r="K6" s="10" t="s">
        <v>161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77"/>
    </row>
    <row r="7" spans="1:37" s="44" customFormat="1" ht="15.75" x14ac:dyDescent="0.2">
      <c r="A7" s="69">
        <v>31</v>
      </c>
      <c r="B7" s="80" t="s">
        <v>62</v>
      </c>
      <c r="C7" s="51"/>
      <c r="D7" s="213" t="s">
        <v>214</v>
      </c>
      <c r="E7" s="85"/>
      <c r="F7" s="214" t="s">
        <v>14</v>
      </c>
      <c r="G7" s="215">
        <v>118</v>
      </c>
      <c r="H7" s="215"/>
      <c r="I7" s="75"/>
      <c r="J7" s="76"/>
      <c r="K7" s="10" t="s">
        <v>161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77"/>
    </row>
    <row r="8" spans="1:37" s="3" customFormat="1" ht="15.75" x14ac:dyDescent="0.2">
      <c r="A8" s="69">
        <v>34</v>
      </c>
      <c r="B8" s="74" t="s">
        <v>64</v>
      </c>
      <c r="C8" s="45"/>
      <c r="D8" s="87" t="s">
        <v>214</v>
      </c>
      <c r="E8" s="86"/>
      <c r="F8" s="47" t="s">
        <v>14</v>
      </c>
      <c r="G8" s="50">
        <v>114</v>
      </c>
      <c r="H8" s="50"/>
      <c r="I8" s="48"/>
      <c r="J8" s="78"/>
      <c r="K8" s="8" t="s">
        <v>161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79"/>
    </row>
    <row r="9" spans="1:37" s="44" customFormat="1" ht="15.75" x14ac:dyDescent="0.2">
      <c r="A9" s="69">
        <v>37</v>
      </c>
      <c r="B9" s="80" t="s">
        <v>66</v>
      </c>
      <c r="C9" s="51"/>
      <c r="D9" s="213" t="s">
        <v>214</v>
      </c>
      <c r="E9" s="85"/>
      <c r="F9" s="214" t="s">
        <v>14</v>
      </c>
      <c r="G9" s="215">
        <v>112</v>
      </c>
      <c r="H9" s="215"/>
      <c r="I9" s="75"/>
      <c r="J9" s="76"/>
      <c r="K9" s="10" t="s">
        <v>161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77"/>
    </row>
    <row r="10" spans="1:37" s="3" customFormat="1" ht="15.75" x14ac:dyDescent="0.2">
      <c r="A10" s="69">
        <v>38</v>
      </c>
      <c r="B10" s="74" t="s">
        <v>67</v>
      </c>
      <c r="C10" s="45"/>
      <c r="D10" s="87" t="s">
        <v>214</v>
      </c>
      <c r="E10" s="86"/>
      <c r="F10" s="47" t="s">
        <v>14</v>
      </c>
      <c r="G10" s="50">
        <v>116</v>
      </c>
      <c r="H10" s="50"/>
      <c r="I10" s="48"/>
      <c r="J10" s="78"/>
      <c r="K10" s="8" t="s">
        <v>161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79"/>
    </row>
    <row r="11" spans="1:37" s="44" customFormat="1" ht="15.75" x14ac:dyDescent="0.2">
      <c r="A11" s="69">
        <v>39</v>
      </c>
      <c r="B11" s="80" t="s">
        <v>68</v>
      </c>
      <c r="C11" s="51"/>
      <c r="D11" s="213" t="s">
        <v>214</v>
      </c>
      <c r="E11" s="85"/>
      <c r="F11" s="214" t="s">
        <v>14</v>
      </c>
      <c r="G11" s="215">
        <v>118</v>
      </c>
      <c r="H11" s="215"/>
      <c r="I11" s="75"/>
      <c r="J11" s="76"/>
      <c r="K11" s="10" t="s">
        <v>161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77"/>
    </row>
    <row r="12" spans="1:37" s="105" customFormat="1" ht="15.75" x14ac:dyDescent="0.2">
      <c r="A12" s="352">
        <v>40</v>
      </c>
      <c r="B12" s="340" t="s">
        <v>69</v>
      </c>
      <c r="C12" s="341"/>
      <c r="D12" s="342" t="s">
        <v>214</v>
      </c>
      <c r="E12" s="343"/>
      <c r="F12" s="353"/>
      <c r="G12" s="354"/>
      <c r="H12" s="354" t="s">
        <v>70</v>
      </c>
      <c r="I12" s="344"/>
      <c r="J12" s="346"/>
      <c r="K12" s="344"/>
      <c r="L12" s="344"/>
      <c r="M12" s="344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44"/>
      <c r="Y12" s="344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106"/>
    </row>
    <row r="13" spans="1:37" s="3" customFormat="1" ht="15.75" x14ac:dyDescent="0.2">
      <c r="A13" s="69">
        <v>42</v>
      </c>
      <c r="B13" s="74" t="s">
        <v>71</v>
      </c>
      <c r="C13" s="45"/>
      <c r="D13" s="87" t="s">
        <v>214</v>
      </c>
      <c r="E13" s="86"/>
      <c r="F13" s="47" t="s">
        <v>14</v>
      </c>
      <c r="G13" s="50">
        <v>118</v>
      </c>
      <c r="H13" s="50"/>
      <c r="I13" s="48"/>
      <c r="J13" s="78"/>
      <c r="K13" s="8" t="s">
        <v>161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79"/>
    </row>
    <row r="14" spans="1:37" s="3" customFormat="1" ht="15.75" x14ac:dyDescent="0.2">
      <c r="A14" s="69">
        <v>46</v>
      </c>
      <c r="B14" s="74" t="s">
        <v>76</v>
      </c>
      <c r="C14" s="45"/>
      <c r="D14" s="87" t="s">
        <v>213</v>
      </c>
      <c r="E14" s="86"/>
      <c r="F14" s="47" t="s">
        <v>14</v>
      </c>
      <c r="G14" s="50" t="s">
        <v>56</v>
      </c>
      <c r="H14" s="50"/>
      <c r="I14" s="48"/>
      <c r="J14" s="78"/>
      <c r="K14" s="8" t="s">
        <v>161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79"/>
    </row>
    <row r="15" spans="1:37" s="3" customFormat="1" ht="15.75" x14ac:dyDescent="0.2">
      <c r="A15" s="67">
        <v>48</v>
      </c>
      <c r="B15" s="74" t="s">
        <v>78</v>
      </c>
      <c r="C15" s="45"/>
      <c r="D15" s="87" t="s">
        <v>213</v>
      </c>
      <c r="E15" s="86"/>
      <c r="F15" s="47" t="s">
        <v>14</v>
      </c>
      <c r="G15" s="50" t="s">
        <v>73</v>
      </c>
      <c r="H15" s="50"/>
      <c r="I15" s="48"/>
      <c r="J15" s="78"/>
      <c r="K15" s="8" t="s">
        <v>161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79"/>
    </row>
    <row r="16" spans="1:37" s="3" customFormat="1" ht="15.75" x14ac:dyDescent="0.2">
      <c r="A16" s="67">
        <v>57</v>
      </c>
      <c r="B16" s="74" t="s">
        <v>85</v>
      </c>
      <c r="C16" s="45"/>
      <c r="D16" s="87" t="s">
        <v>213</v>
      </c>
      <c r="E16" s="86"/>
      <c r="F16" s="46" t="s">
        <v>14</v>
      </c>
      <c r="G16" s="49" t="s">
        <v>86</v>
      </c>
      <c r="H16" s="49"/>
      <c r="I16" s="48"/>
      <c r="J16" s="78"/>
      <c r="K16" s="8" t="s">
        <v>161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79"/>
    </row>
    <row r="17" spans="1:141" s="3" customFormat="1" ht="15.75" x14ac:dyDescent="0.2">
      <c r="A17" s="67">
        <v>61</v>
      </c>
      <c r="B17" s="74" t="s">
        <v>91</v>
      </c>
      <c r="C17" s="45"/>
      <c r="D17" s="87" t="s">
        <v>213</v>
      </c>
      <c r="E17" s="86"/>
      <c r="F17" s="47" t="s">
        <v>14</v>
      </c>
      <c r="G17" s="50" t="s">
        <v>92</v>
      </c>
      <c r="H17" s="50"/>
      <c r="I17" s="48"/>
      <c r="J17" s="78"/>
      <c r="K17" s="8" t="s">
        <v>161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79"/>
    </row>
    <row r="18" spans="1:141" s="3" customFormat="1" ht="15.75" x14ac:dyDescent="0.2">
      <c r="A18" s="69">
        <v>67</v>
      </c>
      <c r="B18" s="74" t="s">
        <v>102</v>
      </c>
      <c r="C18" s="45"/>
      <c r="D18" s="87" t="s">
        <v>215</v>
      </c>
      <c r="E18" s="86"/>
      <c r="F18" s="47" t="s">
        <v>14</v>
      </c>
      <c r="G18" s="50" t="s">
        <v>103</v>
      </c>
      <c r="H18" s="50"/>
      <c r="I18" s="48"/>
      <c r="J18" s="78"/>
      <c r="K18" s="8" t="s">
        <v>161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79"/>
    </row>
    <row r="19" spans="1:141" s="3" customFormat="1" ht="15.75" x14ac:dyDescent="0.2">
      <c r="A19" s="67">
        <v>68</v>
      </c>
      <c r="B19" s="74" t="s">
        <v>104</v>
      </c>
      <c r="C19" s="45"/>
      <c r="D19" s="87" t="s">
        <v>215</v>
      </c>
      <c r="E19" s="86"/>
      <c r="F19" s="46" t="s">
        <v>14</v>
      </c>
      <c r="G19" s="49" t="s">
        <v>105</v>
      </c>
      <c r="H19" s="49"/>
      <c r="I19" s="48"/>
      <c r="J19" s="78"/>
      <c r="K19" s="8" t="s">
        <v>161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79"/>
    </row>
    <row r="20" spans="1:141" s="3" customFormat="1" ht="15.75" x14ac:dyDescent="0.2">
      <c r="A20" s="69">
        <v>74</v>
      </c>
      <c r="B20" s="74" t="s">
        <v>112</v>
      </c>
      <c r="C20" s="45"/>
      <c r="D20" s="87" t="s">
        <v>215</v>
      </c>
      <c r="E20" s="86"/>
      <c r="F20" s="46" t="s">
        <v>14</v>
      </c>
      <c r="G20" s="49" t="s">
        <v>113</v>
      </c>
      <c r="H20" s="49"/>
      <c r="I20" s="48"/>
      <c r="J20" s="78"/>
      <c r="K20" s="8" t="s">
        <v>161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79"/>
    </row>
    <row r="21" spans="1:141" s="3" customFormat="1" ht="15.75" x14ac:dyDescent="0.2">
      <c r="A21" s="69">
        <v>75</v>
      </c>
      <c r="B21" s="74" t="s">
        <v>114</v>
      </c>
      <c r="C21" s="45"/>
      <c r="D21" s="87" t="s">
        <v>215</v>
      </c>
      <c r="E21" s="86"/>
      <c r="F21" s="47" t="s">
        <v>14</v>
      </c>
      <c r="G21" s="50" t="s">
        <v>115</v>
      </c>
      <c r="H21" s="50"/>
      <c r="I21" s="48"/>
      <c r="J21" s="78"/>
      <c r="K21" s="8" t="s">
        <v>161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79"/>
    </row>
    <row r="22" spans="1:141" s="3" customFormat="1" ht="15.75" x14ac:dyDescent="0.2">
      <c r="A22" s="69">
        <v>79</v>
      </c>
      <c r="B22" s="74" t="s">
        <v>119</v>
      </c>
      <c r="C22" s="45"/>
      <c r="D22" s="87" t="s">
        <v>215</v>
      </c>
      <c r="E22" s="86"/>
      <c r="F22" s="47" t="s">
        <v>14</v>
      </c>
      <c r="G22" s="50" t="s">
        <v>113</v>
      </c>
      <c r="H22" s="50" t="s">
        <v>161</v>
      </c>
      <c r="I22" s="48"/>
      <c r="J22" s="78"/>
      <c r="K22" s="8" t="s">
        <v>161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79"/>
    </row>
    <row r="23" spans="1:141" s="3" customFormat="1" ht="15.75" x14ac:dyDescent="0.2">
      <c r="A23" s="69">
        <v>87</v>
      </c>
      <c r="B23" s="5" t="s">
        <v>128</v>
      </c>
      <c r="C23" s="41"/>
      <c r="D23" s="88" t="s">
        <v>216</v>
      </c>
      <c r="E23" s="84"/>
      <c r="F23" s="6" t="s">
        <v>14</v>
      </c>
      <c r="G23" s="6">
        <v>102</v>
      </c>
      <c r="H23" s="81"/>
      <c r="I23" s="6" t="s">
        <v>14</v>
      </c>
      <c r="J23" s="7">
        <v>102</v>
      </c>
      <c r="K23" s="8" t="s">
        <v>161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68"/>
    </row>
    <row r="24" spans="1:141" s="3" customFormat="1" ht="15.75" x14ac:dyDescent="0.2">
      <c r="A24" s="67">
        <v>92</v>
      </c>
      <c r="B24" s="5" t="s">
        <v>132</v>
      </c>
      <c r="C24" s="41"/>
      <c r="D24" s="88" t="s">
        <v>216</v>
      </c>
      <c r="E24" s="84"/>
      <c r="F24" s="6" t="s">
        <v>14</v>
      </c>
      <c r="G24" s="15" t="s">
        <v>133</v>
      </c>
      <c r="H24" s="81"/>
      <c r="I24" s="6" t="s">
        <v>14</v>
      </c>
      <c r="J24" s="13" t="s">
        <v>133</v>
      </c>
      <c r="K24" s="8" t="s">
        <v>161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68"/>
    </row>
    <row r="25" spans="1:141" s="3" customFormat="1" ht="15.75" x14ac:dyDescent="0.2">
      <c r="A25" s="67">
        <v>93</v>
      </c>
      <c r="B25" s="5" t="s">
        <v>134</v>
      </c>
      <c r="C25" s="41"/>
      <c r="D25" s="88" t="s">
        <v>216</v>
      </c>
      <c r="E25" s="84"/>
      <c r="F25" s="6" t="s">
        <v>14</v>
      </c>
      <c r="G25" s="6">
        <v>101</v>
      </c>
      <c r="H25" s="81"/>
      <c r="I25" s="6" t="s">
        <v>14</v>
      </c>
      <c r="J25" s="7">
        <v>101</v>
      </c>
      <c r="K25" s="8" t="s">
        <v>161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68"/>
    </row>
    <row r="26" spans="1:141" s="3" customFormat="1" ht="15.75" x14ac:dyDescent="0.2">
      <c r="A26" s="69">
        <v>94</v>
      </c>
      <c r="B26" s="5" t="s">
        <v>135</v>
      </c>
      <c r="C26" s="41"/>
      <c r="D26" s="88" t="s">
        <v>216</v>
      </c>
      <c r="E26" s="84"/>
      <c r="F26" s="6" t="s">
        <v>14</v>
      </c>
      <c r="G26" s="15" t="s">
        <v>32</v>
      </c>
      <c r="H26" s="81"/>
      <c r="I26" s="6"/>
      <c r="J26" s="7"/>
      <c r="K26" s="8" t="s">
        <v>161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68"/>
    </row>
    <row r="27" spans="1:141" s="3" customFormat="1" ht="15.75" x14ac:dyDescent="0.2">
      <c r="A27" s="67">
        <v>104</v>
      </c>
      <c r="B27" s="5" t="s">
        <v>147</v>
      </c>
      <c r="C27" s="41"/>
      <c r="D27" s="88" t="s">
        <v>216</v>
      </c>
      <c r="E27" s="84"/>
      <c r="F27" s="6" t="s">
        <v>14</v>
      </c>
      <c r="G27" s="15" t="s">
        <v>95</v>
      </c>
      <c r="H27" s="81"/>
      <c r="I27" s="6" t="s">
        <v>14</v>
      </c>
      <c r="J27" s="13" t="s">
        <v>95</v>
      </c>
      <c r="K27" s="8" t="s">
        <v>161</v>
      </c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40"/>
    </row>
    <row r="28" spans="1:141" s="3" customFormat="1" ht="15.75" x14ac:dyDescent="0.2">
      <c r="A28" s="67">
        <v>109</v>
      </c>
      <c r="B28" s="4" t="s">
        <v>151</v>
      </c>
      <c r="C28" s="41"/>
      <c r="D28" s="88" t="s">
        <v>217</v>
      </c>
      <c r="E28" s="84"/>
      <c r="F28" s="6" t="s">
        <v>7</v>
      </c>
      <c r="G28" s="6" t="s">
        <v>150</v>
      </c>
      <c r="H28" s="81"/>
      <c r="I28" s="6"/>
      <c r="J28" s="7"/>
      <c r="K28" s="8" t="s">
        <v>285</v>
      </c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40"/>
    </row>
    <row r="29" spans="1:141" s="105" customFormat="1" ht="15.75" x14ac:dyDescent="0.2">
      <c r="A29" s="67">
        <v>112</v>
      </c>
      <c r="B29" s="340" t="s">
        <v>152</v>
      </c>
      <c r="C29" s="341"/>
      <c r="D29" s="342" t="s">
        <v>217</v>
      </c>
      <c r="E29" s="343"/>
      <c r="F29" s="344" t="s">
        <v>7</v>
      </c>
      <c r="G29" s="344"/>
      <c r="H29" s="345" t="s">
        <v>70</v>
      </c>
      <c r="I29" s="344"/>
      <c r="J29" s="346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7"/>
      <c r="AB29" s="347"/>
      <c r="AC29" s="347"/>
      <c r="AD29" s="347"/>
      <c r="AE29" s="347"/>
      <c r="AF29" s="347"/>
      <c r="AG29" s="347"/>
      <c r="AH29" s="347"/>
      <c r="AI29" s="347"/>
      <c r="AJ29" s="347"/>
      <c r="AK29" s="348"/>
    </row>
    <row r="30" spans="1:141" s="105" customFormat="1" ht="15.75" x14ac:dyDescent="0.2">
      <c r="A30" s="69">
        <v>112</v>
      </c>
      <c r="B30" s="349" t="s">
        <v>158</v>
      </c>
      <c r="C30" s="350"/>
      <c r="D30" s="342" t="s">
        <v>217</v>
      </c>
      <c r="E30" s="343"/>
      <c r="F30" s="351"/>
      <c r="G30" s="351" t="s">
        <v>15</v>
      </c>
      <c r="H30" s="345" t="s">
        <v>159</v>
      </c>
      <c r="I30" s="344"/>
      <c r="J30" s="346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347"/>
      <c r="AB30" s="347"/>
      <c r="AC30" s="347"/>
      <c r="AD30" s="347"/>
      <c r="AE30" s="347"/>
      <c r="AF30" s="347"/>
      <c r="AG30" s="347"/>
      <c r="AH30" s="347"/>
      <c r="AI30" s="347"/>
      <c r="AJ30" s="347"/>
      <c r="AK30" s="348"/>
    </row>
    <row r="31" spans="1:141" s="235" customFormat="1" ht="51" x14ac:dyDescent="0.2">
      <c r="A31" s="67">
        <v>12</v>
      </c>
      <c r="B31" s="232" t="s">
        <v>24</v>
      </c>
      <c r="C31" s="233" t="s">
        <v>382</v>
      </c>
      <c r="D31" s="241" t="s">
        <v>35</v>
      </c>
      <c r="E31" s="98">
        <v>42914</v>
      </c>
      <c r="F31" s="430" t="s">
        <v>16</v>
      </c>
      <c r="G31" s="431"/>
      <c r="H31" s="375"/>
      <c r="I31" s="374" t="s">
        <v>7</v>
      </c>
      <c r="J31" s="259" t="s">
        <v>150</v>
      </c>
      <c r="K31" s="433" t="s">
        <v>150</v>
      </c>
      <c r="L31" s="358">
        <v>8</v>
      </c>
      <c r="M31" s="250"/>
      <c r="N31" s="437"/>
      <c r="O31" s="374"/>
      <c r="P31" s="234"/>
      <c r="Q31" s="234">
        <v>1</v>
      </c>
      <c r="R31" s="234">
        <v>1</v>
      </c>
      <c r="S31" s="234">
        <v>1</v>
      </c>
      <c r="T31" s="234">
        <v>1</v>
      </c>
      <c r="U31" s="234"/>
      <c r="V31" s="234">
        <v>1</v>
      </c>
      <c r="W31" s="234"/>
      <c r="X31" s="234"/>
      <c r="Y31" s="234">
        <v>1</v>
      </c>
      <c r="Z31" s="234"/>
      <c r="AA31" s="234">
        <v>1</v>
      </c>
      <c r="AB31" s="234"/>
      <c r="AC31" s="234"/>
      <c r="AD31" s="234"/>
      <c r="AE31" s="234"/>
      <c r="AF31" s="234"/>
      <c r="AG31" s="234"/>
      <c r="AH31" s="234"/>
      <c r="AI31" s="234"/>
      <c r="AJ31" s="359" t="s">
        <v>210</v>
      </c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6"/>
      <c r="BK31" s="236"/>
      <c r="BL31" s="236"/>
      <c r="BM31" s="236"/>
      <c r="BN31" s="236"/>
      <c r="BO31" s="236"/>
      <c r="BP31" s="236"/>
      <c r="BQ31" s="236"/>
      <c r="BR31" s="236"/>
      <c r="BS31" s="236"/>
      <c r="BT31" s="236"/>
      <c r="BU31" s="236"/>
      <c r="BV31" s="236"/>
      <c r="BW31" s="236"/>
      <c r="BX31" s="236"/>
      <c r="BY31" s="236"/>
      <c r="BZ31" s="236"/>
      <c r="CA31" s="236"/>
      <c r="CB31" s="236"/>
      <c r="CC31" s="236"/>
      <c r="CD31" s="236"/>
      <c r="CE31" s="236"/>
      <c r="CF31" s="236"/>
      <c r="CG31" s="236"/>
      <c r="CH31" s="236"/>
      <c r="CI31" s="236"/>
      <c r="CJ31" s="236"/>
      <c r="CK31" s="236"/>
      <c r="CL31" s="236"/>
      <c r="CM31" s="236"/>
      <c r="CN31" s="236"/>
      <c r="CO31" s="236"/>
      <c r="CP31" s="236"/>
      <c r="CQ31" s="236"/>
      <c r="CR31" s="236"/>
      <c r="CS31" s="236"/>
      <c r="CT31" s="236"/>
      <c r="CU31" s="236"/>
      <c r="CV31" s="236"/>
      <c r="CW31" s="236"/>
      <c r="CX31" s="236"/>
      <c r="CY31" s="236"/>
      <c r="CZ31" s="236"/>
      <c r="DA31" s="236"/>
      <c r="DB31" s="236"/>
      <c r="DC31" s="236"/>
      <c r="DD31" s="236"/>
      <c r="DE31" s="236"/>
      <c r="DF31" s="236"/>
      <c r="DG31" s="236"/>
      <c r="DH31" s="236"/>
      <c r="DI31" s="236"/>
      <c r="DJ31" s="236"/>
      <c r="DK31" s="236"/>
      <c r="DL31" s="236"/>
      <c r="DM31" s="236"/>
      <c r="DN31" s="236"/>
      <c r="DO31" s="236"/>
      <c r="DP31" s="236"/>
      <c r="DQ31" s="236"/>
      <c r="DR31" s="236"/>
      <c r="DS31" s="236"/>
      <c r="DT31" s="236"/>
      <c r="DU31" s="236"/>
      <c r="DV31" s="236"/>
      <c r="DW31" s="236"/>
      <c r="DX31" s="236"/>
      <c r="DY31" s="236"/>
      <c r="DZ31" s="236"/>
      <c r="EA31" s="236"/>
      <c r="EB31" s="236"/>
      <c r="EC31" s="236"/>
      <c r="ED31" s="236"/>
      <c r="EE31" s="236"/>
      <c r="EF31" s="236"/>
      <c r="EG31" s="236"/>
      <c r="EH31" s="236"/>
      <c r="EI31" s="236"/>
      <c r="EJ31" s="236"/>
      <c r="EK31" s="236"/>
    </row>
    <row r="32" spans="1:141" s="3" customFormat="1" ht="15.75" x14ac:dyDescent="0.2">
      <c r="A32" s="69">
        <v>17</v>
      </c>
      <c r="B32" s="4" t="s">
        <v>398</v>
      </c>
      <c r="C32" s="41" t="s">
        <v>373</v>
      </c>
      <c r="D32" s="88" t="s">
        <v>216</v>
      </c>
      <c r="E32" s="85">
        <v>42899</v>
      </c>
      <c r="F32" s="6" t="s">
        <v>14</v>
      </c>
      <c r="G32" s="6" t="s">
        <v>293</v>
      </c>
      <c r="H32" s="326" t="s">
        <v>14</v>
      </c>
      <c r="I32" s="203" t="s">
        <v>14</v>
      </c>
      <c r="J32" s="406" t="s">
        <v>293</v>
      </c>
      <c r="K32" s="407"/>
      <c r="L32" s="415"/>
      <c r="M32" s="339"/>
      <c r="N32" s="416"/>
      <c r="O32" s="338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40"/>
    </row>
  </sheetData>
  <mergeCells count="6">
    <mergeCell ref="A1:AJ1"/>
    <mergeCell ref="O3:AJ3"/>
    <mergeCell ref="E3:H3"/>
    <mergeCell ref="I3:K3"/>
    <mergeCell ref="L3:N3"/>
    <mergeCell ref="A2:AJ2"/>
  </mergeCells>
  <phoneticPr fontId="7" type="noConversion"/>
  <conditionalFormatting sqref="K23">
    <cfRule type="cellIs" dxfId="43" priority="15" stopIfTrue="1" operator="equal">
      <formula>"neu"</formula>
    </cfRule>
  </conditionalFormatting>
  <conditionalFormatting sqref="K25:K26">
    <cfRule type="cellIs" dxfId="42" priority="5" stopIfTrue="1" operator="equal">
      <formula>"neu"</formula>
    </cfRule>
  </conditionalFormatting>
  <conditionalFormatting sqref="K24">
    <cfRule type="cellIs" dxfId="41" priority="3" stopIfTrue="1" operator="equal">
      <formula>"neu"</formula>
    </cfRule>
  </conditionalFormatting>
  <conditionalFormatting sqref="K31:AI31">
    <cfRule type="cellIs" dxfId="40" priority="2" stopIfTrue="1" operator="equal">
      <formula>"neu"</formula>
    </cfRule>
  </conditionalFormatting>
  <conditionalFormatting sqref="G31">
    <cfRule type="cellIs" dxfId="39" priority="1" stopIfTrue="1" operator="equal">
      <formula>"neu"</formula>
    </cfRule>
  </conditionalFormatting>
  <printOptions horizontalCentered="1" verticalCentered="1"/>
  <pageMargins left="0.19685039370078741" right="0.19685039370078741" top="0.98425196850393704" bottom="0.98425196850393704" header="0.31496062992125984" footer="0.39370078740157483"/>
  <pageSetup paperSize="9" scale="95" orientation="landscape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41b624-166c-4987-9ed6-d539972f16a8">
      <Value>3</Value>
    </TaxCatchAll>
    <gbbd9102adcd43839cd73b51972a464c xmlns="e941b624-166c-4987-9ed6-d539972f16a8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Review</TermName>
          <TermId xmlns="http://schemas.microsoft.com/office/infopath/2007/PartnerControls">b0ec2a8b-cf08-4112-9763-11cd34e9002b</TermId>
        </TermInfo>
      </Terms>
    </gbbd9102adcd43839cd73b51972a464c>
    <Auf_x0020_Startseite_x0020_anzeigen xmlns="327c9445-ab1b-4f57-ad9b-c35e26896b67">false</Auf_x0020_Startseite_x0020_anzeigen>
    <_dlc_ExpireDateSaved xmlns="http://schemas.microsoft.com/sharepoint/v3" xsi:nil="true"/>
    <_dlc_ExpireDate xmlns="http://schemas.microsoft.com/sharepoint/v3">2029-06-16T13:01:40+00:00</_dlc_ExpireDate>
    <_dlc_DocId xmlns="e1211b08-ed2e-41d0-aabc-e1f4e414f022">MFWDDXAZW62M-15-2768</_dlc_DocId>
    <_dlc_DocIdUrl xmlns="e1211b08-ed2e-41d0-aabc-e1f4e414f022">
      <Url>http://sp-coll-bag.bayer-ag.com/sites/020014/Team/_layouts/15/DocIdRedir.aspx?ID=MFWDDXAZW62M-15-2768</Url>
      <Description>MFWDDXAZW62M-15-2768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2F5AF5708B7034CAAF8564FB43807A8" ma:contentTypeVersion="68" ma:contentTypeDescription="Ein neues Dokument erstellen." ma:contentTypeScope="" ma:versionID="e12cde73ec630a8125d02af6adabb827">
  <xsd:schema xmlns:xsd="http://www.w3.org/2001/XMLSchema" xmlns:xs="http://www.w3.org/2001/XMLSchema" xmlns:p="http://schemas.microsoft.com/office/2006/metadata/properties" xmlns:ns1="http://schemas.microsoft.com/sharepoint/v3" xmlns:ns2="e941b624-166c-4987-9ed6-d539972f16a8" xmlns:ns3="327c9445-ab1b-4f57-ad9b-c35e26896b67" xmlns:ns4="e1211b08-ed2e-41d0-aabc-e1f4e414f022" targetNamespace="http://schemas.microsoft.com/office/2006/metadata/properties" ma:root="true" ma:fieldsID="7d2f98db717a80b65fdca39888825b78" ns1:_="" ns2:_="" ns3:_="" ns4:_="">
    <xsd:import namespace="http://schemas.microsoft.com/sharepoint/v3"/>
    <xsd:import namespace="e941b624-166c-4987-9ed6-d539972f16a8"/>
    <xsd:import namespace="327c9445-ab1b-4f57-ad9b-c35e26896b67"/>
    <xsd:import namespace="e1211b08-ed2e-41d0-aabc-e1f4e414f02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gbbd9102adcd43839cd73b51972a464c" minOccurs="0"/>
                <xsd:element ref="ns1:_dlc_Exempt" minOccurs="0"/>
                <xsd:element ref="ns1:_dlc_ExpireDateSaved" minOccurs="0"/>
                <xsd:element ref="ns1:_dlc_ExpireDate" minOccurs="0"/>
                <xsd:element ref="ns3:Auf_x0020_Startseite_x0020_anzeigen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2" nillable="true" ma:displayName="Von der Richtlinie ausgenommen" ma:hidden="true" ma:internalName="_dlc_Exempt" ma:readOnly="true">
      <xsd:simpleType>
        <xsd:restriction base="dms:Unknown"/>
      </xsd:simpleType>
    </xsd:element>
    <xsd:element name="_dlc_ExpireDateSaved" ma:index="13" nillable="true" ma:displayName="Ursprüngliches Ablaufdatum" ma:hidden="true" ma:internalName="_dlc_ExpireDateSaved" ma:readOnly="true">
      <xsd:simpleType>
        <xsd:restriction base="dms:DateTime"/>
      </xsd:simpleType>
    </xsd:element>
    <xsd:element name="_dlc_ExpireDate" ma:index="14" nillable="true" ma:displayName="Ablaufdatum" ma:hidden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1b624-166c-4987-9ed6-d539972f16a8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39d395cc-fdd8-4487-a8fa-46837fd67903}" ma:internalName="TaxCatchAll" ma:showField="CatchAllData" ma:web="e1211b08-ed2e-41d0-aabc-e1f4e414f0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39d395cc-fdd8-4487-a8fa-46837fd67903}" ma:internalName="TaxCatchAllLabel" ma:readOnly="true" ma:showField="CatchAllDataLabel" ma:web="e1211b08-ed2e-41d0-aabc-e1f4e414f0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bbd9102adcd43839cd73b51972a464c" ma:index="10" nillable="true" ma:taxonomy="true" ma:internalName="gbbd9102adcd43839cd73b51972a464c" ma:taxonomyFieldName="DataClassBayerRetention" ma:displayName="Data Class" ma:readOnly="false" ma:default="3;#Review|b0ec2a8b-cf08-4112-9763-11cd34e9002b" ma:fieldId="{0bbd9102-adcd-4383-9cd7-3b51972a464c}" ma:sspId="7c593367-9bb5-4764-945e-f6a26d2260c4" ma:termSetId="a305235b-fecf-45b3-8300-71c0f432cbc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c9445-ab1b-4f57-ad9b-c35e26896b67" elementFormDefault="qualified">
    <xsd:import namespace="http://schemas.microsoft.com/office/2006/documentManagement/types"/>
    <xsd:import namespace="http://schemas.microsoft.com/office/infopath/2007/PartnerControls"/>
    <xsd:element name="Auf_x0020_Startseite_x0020_anzeigen" ma:index="15" nillable="true" ma:displayName="Auf Startseite anzeigen" ma:default="0" ma:internalName="Auf_x0020_Startseite_x0020_anzeig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1b08-ed2e-41d0-aabc-e1f4e414f022" elementFormDefault="qualified">
    <xsd:import namespace="http://schemas.microsoft.com/office/2006/documentManagement/types"/>
    <xsd:import namespace="http://schemas.microsoft.com/office/infopath/2007/PartnerControls"/>
    <xsd:element name="_dlc_DocId" ma:index="16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17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Expiration" staticId="0x0101|-2126682137" UniqueId="ab3b55e9-aae5-4563-b264-599d7d4a4f77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Bayer SharePoint Retention Policy 2.1"/>
                <action type="action" id="Microsoft.Office.RecordsManagement.PolicyFeatures.Expiration.Action.MoveToRecycleBin"/>
              </data>
            </stages>
          </Schedule>
        </Schedules>
      </p:CustomData>
    </p:PolicyItem>
  </p:PolicyItems>
</p:Policy>
</file>

<file path=customXml/item5.xml><?xml version="1.0" encoding="utf-8"?>
<?mso-contentType ?>
<SharedContentType xmlns="Microsoft.SharePoint.Taxonomy.ContentTypeSync" SourceId="7c593367-9bb5-4764-945e-f6a26d2260c4" ContentTypeId="0x0101" PreviousValue="true"/>
</file>

<file path=customXml/item6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Assembly>Microsoft.Office.Policy, Version=14.0.0.0,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49807DF-8E6A-4ABA-AF6A-4A1725E59B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A73170-0AB7-4DA4-8514-8A1FE2F91DAC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e941b624-166c-4987-9ed6-d539972f16a8"/>
    <ds:schemaRef ds:uri="http://purl.org/dc/terms/"/>
    <ds:schemaRef ds:uri="e1211b08-ed2e-41d0-aabc-e1f4e414f022"/>
    <ds:schemaRef ds:uri="http://purl.org/dc/dcmitype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327c9445-ab1b-4f57-ad9b-c35e26896b67"/>
  </ds:schemaRefs>
</ds:datastoreItem>
</file>

<file path=customXml/itemProps3.xml><?xml version="1.0" encoding="utf-8"?>
<ds:datastoreItem xmlns:ds="http://schemas.openxmlformats.org/officeDocument/2006/customXml" ds:itemID="{D2C37AAA-1B89-496C-A319-736DBF12B5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941b624-166c-4987-9ed6-d539972f16a8"/>
    <ds:schemaRef ds:uri="327c9445-ab1b-4f57-ad9b-c35e26896b67"/>
    <ds:schemaRef ds:uri="e1211b08-ed2e-41d0-aabc-e1f4e414f0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80F5EE-60FC-40FE-9FF8-6B63AA808C72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1DD8AB48-74DB-48DE-8B91-049C45E643BF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764AC98A-0DBB-4400-9D01-8F7912DFAEE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10</vt:i4>
      </vt:variant>
    </vt:vector>
  </HeadingPairs>
  <TitlesOfParts>
    <vt:vector size="20" baseType="lpstr">
      <vt:lpstr>1. Welle (23.05.)</vt:lpstr>
      <vt:lpstr>2. Welle (30.05.)</vt:lpstr>
      <vt:lpstr>09.06. Umbau Kampa</vt:lpstr>
      <vt:lpstr>3. Welle (12.06.)</vt:lpstr>
      <vt:lpstr>3. Welle (13.06.)</vt:lpstr>
      <vt:lpstr>27.06. Umbau Schmidt</vt:lpstr>
      <vt:lpstr>4. Welle (28.06.)</vt:lpstr>
      <vt:lpstr>4. Welle (29.06.)</vt:lpstr>
      <vt:lpstr>5. Welle (05.07.)</vt:lpstr>
      <vt:lpstr>all</vt:lpstr>
      <vt:lpstr>'09.06. Umbau Kampa'!Druckbereich</vt:lpstr>
      <vt:lpstr>'1. Welle (23.05.)'!Druckbereich</vt:lpstr>
      <vt:lpstr>'2. Welle (30.05.)'!Druckbereich</vt:lpstr>
      <vt:lpstr>'27.06. Umbau Schmidt'!Druckbereich</vt:lpstr>
      <vt:lpstr>'3. Welle (12.06.)'!Druckbereich</vt:lpstr>
      <vt:lpstr>'3. Welle (13.06.)'!Druckbereich</vt:lpstr>
      <vt:lpstr>'4. Welle (28.06.)'!Druckbereich</vt:lpstr>
      <vt:lpstr>'4. Welle (29.06.)'!Druckbereich</vt:lpstr>
      <vt:lpstr>'5. Welle (05.07.)'!Druckbereich</vt:lpstr>
      <vt:lpstr>all!Druckbereich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Services</dc:title>
  <dc:creator>*</dc:creator>
  <cp:lastModifiedBy>Jörg Schmitz</cp:lastModifiedBy>
  <cp:lastPrinted>2017-06-12T07:28:42Z</cp:lastPrinted>
  <dcterms:created xsi:type="dcterms:W3CDTF">2001-07-18T08:27:29Z</dcterms:created>
  <dcterms:modified xsi:type="dcterms:W3CDTF">2017-06-19T09:01:07Z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0x01010092F5AF5708B7034CAAF8564FB43807A8</vt:lpwstr>
  </property>
  <property fmtid="{D5CDD505-2E9C-101B-9397-08002B2CF9AE}" pid="3" name="_dlc_policyId">
    <vt:lpwstr>0x0101|-2126682137</vt:lpwstr>
  </property>
  <property fmtid="{D5CDD505-2E9C-101B-9397-08002B2CF9AE}" pid="4" name="ItemRetentionFormula">
    <vt:lpwstr>&lt;formula id="Bayer SharePoint Retention Policy 2.1" /&gt;</vt:lpwstr>
  </property>
  <property fmtid="{D5CDD505-2E9C-101B-9397-08002B2CF9AE}" pid="5" name="_dlc_DocIdItemGuid">
    <vt:lpwstr>1b51599e-7310-48da-a677-dbf48d154aff</vt:lpwstr>
  </property>
  <property fmtid="{D5CDD505-2E9C-101B-9397-08002B2CF9AE}" pid="6" name="DataClassBayerRetention">
    <vt:lpwstr>3;#Review|b0ec2a8b-cf08-4112-9763-11cd34e9002b</vt:lpwstr>
  </property>
</Properties>
</file>